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827"/>
  <workbookPr/>
  <mc:AlternateContent xmlns:mc="http://schemas.openxmlformats.org/markup-compatibility/2006">
    <mc:Choice Requires="x15">
      <x15ac:absPath xmlns:x15ac="http://schemas.microsoft.com/office/spreadsheetml/2010/11/ac" url="https://d.docs.live.net/4a9985e5bf3bb28c/havingadventures.com/img/kili/"/>
    </mc:Choice>
  </mc:AlternateContent>
  <xr:revisionPtr revIDLastSave="6" documentId="67D62E222F5ED35D4B2C00970543F8D5EDEA5EDC" xr6:coauthVersionLast="26" xr6:coauthVersionMax="26" xr10:uidLastSave="{C25B9593-B72F-4EA0-91CB-66FFC0A594D7}"/>
  <bookViews>
    <workbookView xWindow="0" yWindow="0" windowWidth="30675" windowHeight="14085" xr2:uid="{638A6C8E-1797-47C1-9CF8-CE6AEA540378}"/>
  </bookViews>
  <sheets>
    <sheet name="Sheet1" sheetId="1" r:id="rId1"/>
  </sheets>
  <definedNames>
    <definedName name="_xlnm.Print_Area" localSheetId="0">Sheet1!$C$4:$I$16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F14" i="1"/>
  <c r="F13" i="1"/>
  <c r="F12" i="1"/>
  <c r="F11" i="1"/>
  <c r="F10" i="1"/>
  <c r="F9" i="1"/>
  <c r="F8" i="1"/>
  <c r="F7" i="1"/>
  <c r="F6" i="1"/>
  <c r="G16" i="1"/>
  <c r="N6" i="1"/>
  <c r="I16" i="1"/>
</calcChain>
</file>

<file path=xl/sharedStrings.xml><?xml version="1.0" encoding="utf-8"?>
<sst xmlns="http://schemas.openxmlformats.org/spreadsheetml/2006/main" count="31" uniqueCount="27">
  <si>
    <t>Day</t>
  </si>
  <si>
    <t>Altitude (m)</t>
  </si>
  <si>
    <t xml:space="preserve">   Altitude (m)</t>
  </si>
  <si>
    <t>Mti Mkubwa</t>
  </si>
  <si>
    <t>Shira 1 Camp</t>
  </si>
  <si>
    <t>Lava Tower</t>
  </si>
  <si>
    <t>Uhuru Peak</t>
  </si>
  <si>
    <t>Mweka Camp</t>
  </si>
  <si>
    <t>5-6</t>
  </si>
  <si>
    <t>5-7</t>
  </si>
  <si>
    <t>4-5</t>
  </si>
  <si>
    <t>2-3</t>
  </si>
  <si>
    <t>7-8</t>
  </si>
  <si>
    <t>4-6</t>
  </si>
  <si>
    <t>3-4</t>
  </si>
  <si>
    <t>Moir Hut</t>
  </si>
  <si>
    <t>Barranco Camp</t>
  </si>
  <si>
    <t>Karanga Camp</t>
  </si>
  <si>
    <t>Barafu Camp</t>
  </si>
  <si>
    <t>Londorossi Gate</t>
  </si>
  <si>
    <t>Total Elevation Gain</t>
  </si>
  <si>
    <t>Time (hrs)</t>
  </si>
  <si>
    <t>Alt(ft)</t>
  </si>
  <si>
    <t>Finish</t>
  </si>
  <si>
    <t>Start</t>
  </si>
  <si>
    <t>Dist (miles)</t>
  </si>
  <si>
    <t>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</si>
</sst>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u/>
      <sz val="16"/>
      <color theme="1"/>
      <name val="Times New Roman"/>
      <family val="1"/>
    </font>
    <font>
      <sz val="16"/>
      <color theme="1"/>
      <name val="Times New Roman"/>
      <family val="1"/>
    </font>
    <font>
      <b/>
      <sz val="16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Font="1" applyFill="1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1" fillId="2" borderId="0" xfId="0" applyFont="1" applyFill="1" applyAlignment="1">
      <alignment horizontal="center"/>
    </xf>
    <xf numFmtId="3" fontId="1" fillId="2" borderId="0" xfId="0" applyNumberFormat="1" applyFont="1" applyFill="1" applyAlignment="1">
      <alignment horizontal="center"/>
    </xf>
    <xf numFmtId="0" fontId="1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2" xfId="0" applyNumberFormat="1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3" fillId="0" borderId="0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0" fontId="3" fillId="0" borderId="0" xfId="0" quotePrefix="1" applyNumberFormat="1" applyFont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0" xfId="0" applyFont="1" applyFill="1" applyBorder="1"/>
    <xf numFmtId="3" fontId="3" fillId="2" borderId="0" xfId="0" applyNumberFormat="1" applyFont="1" applyFill="1" applyBorder="1" applyAlignment="1">
      <alignment horizontal="center"/>
    </xf>
    <xf numFmtId="16" fontId="3" fillId="2" borderId="0" xfId="0" quotePrefix="1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0" xfId="0" quotePrefix="1" applyNumberFormat="1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4" fillId="0" borderId="7" xfId="0" applyFont="1" applyBorder="1"/>
    <xf numFmtId="0" fontId="4" fillId="0" borderId="7" xfId="0" applyFont="1" applyBorder="1" applyAlignment="1">
      <alignment horizontal="center"/>
    </xf>
    <xf numFmtId="3" fontId="4" fillId="0" borderId="7" xfId="0" applyNumberFormat="1" applyFont="1" applyBorder="1" applyAlignment="1">
      <alignment horizontal="center"/>
    </xf>
    <xf numFmtId="0" fontId="4" fillId="0" borderId="7" xfId="0" applyNumberFormat="1" applyFont="1" applyBorder="1" applyAlignment="1">
      <alignment horizontal="center"/>
    </xf>
    <xf numFmtId="0" fontId="4" fillId="0" borderId="8" xfId="0" applyFont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BF3C1394-8269-4F51-B6A4-F0009578A174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Retrospect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Retrospect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Retro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hade val="92000"/>
                <a:satMod val="130000"/>
              </a:schemeClr>
            </a:gs>
            <a:gs pos="45000">
              <a:schemeClr val="phClr">
                <a:tint val="60000"/>
                <a:shade val="99000"/>
                <a:satMod val="120000"/>
              </a:schemeClr>
            </a:gs>
            <a:gs pos="100000">
              <a:schemeClr val="phClr">
                <a:tint val="55000"/>
                <a:satMod val="14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  <a:satMod val="130000"/>
              </a:schemeClr>
            </a:gs>
            <a:gs pos="34000">
              <a:schemeClr val="phClr">
                <a:shade val="87000"/>
                <a:satMod val="125000"/>
              </a:schemeClr>
            </a:gs>
            <a:gs pos="70000">
              <a:schemeClr val="phClr">
                <a:tint val="100000"/>
                <a:shade val="90000"/>
                <a:satMod val="130000"/>
              </a:schemeClr>
            </a:gs>
            <a:gs pos="100000">
              <a:schemeClr val="phClr">
                <a:tint val="100000"/>
                <a:shade val="100000"/>
                <a:satMod val="11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44450" dist="25400" dir="2700000" algn="b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flat">
            <a:bevelT w="25400" h="31750"/>
          </a:sp3d>
        </a:effectStyle>
      </a:effectStyleLst>
      <a:bgFillStyleLst>
        <a:solidFill>
          <a:schemeClr val="phClr"/>
        </a:solidFill>
        <a:solidFill>
          <a:schemeClr val="phClr">
            <a:tint val="90000"/>
            <a:shade val="97000"/>
            <a:satMod val="130000"/>
          </a:schemeClr>
        </a:solidFill>
        <a:gradFill rotWithShape="1">
          <a:gsLst>
            <a:gs pos="0">
              <a:schemeClr val="phClr">
                <a:tint val="96000"/>
                <a:shade val="99000"/>
                <a:satMod val="140000"/>
              </a:schemeClr>
            </a:gs>
            <a:gs pos="65000">
              <a:schemeClr val="phClr">
                <a:tint val="100000"/>
                <a:shade val="80000"/>
                <a:satMod val="130000"/>
              </a:schemeClr>
            </a:gs>
            <a:gs pos="100000">
              <a:schemeClr val="phClr">
                <a:tint val="100000"/>
                <a:shade val="48000"/>
                <a:satMod val="120000"/>
              </a:schemeClr>
            </a:gs>
          </a:gsLst>
          <a:lin ang="162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Retrospect" id="{5F128B03-DCCA-4EEB-AB3B-CF2899314A46}" vid="{3F1AAB62-24C6-49D2-8E01-B56FAC9A3DC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38F5F-9662-4ECE-975B-338023036A8E}">
  <dimension ref="C3:N16"/>
  <sheetViews>
    <sheetView showGridLines="0" tabSelected="1" workbookViewId="0">
      <selection activeCell="C4" sqref="C4:I16"/>
    </sheetView>
  </sheetViews>
  <sheetFormatPr defaultRowHeight="15" x14ac:dyDescent="0.25"/>
  <cols>
    <col min="1" max="2" width="9.140625" style="1"/>
    <col min="3" max="3" width="6.140625" style="4" customWidth="1"/>
    <col min="4" max="4" width="16.7109375" style="1" customWidth="1"/>
    <col min="5" max="5" width="9.85546875" style="4" bestFit="1" customWidth="1"/>
    <col min="6" max="6" width="16.7109375" style="1" customWidth="1"/>
    <col min="7" max="7" width="9.85546875" style="4" bestFit="1" customWidth="1"/>
    <col min="8" max="8" width="9.140625" style="2"/>
    <col min="9" max="9" width="11.42578125" style="1" customWidth="1"/>
    <col min="10" max="16384" width="9.140625" style="1"/>
  </cols>
  <sheetData>
    <row r="3" spans="3:14" ht="15.75" thickBot="1" x14ac:dyDescent="0.3"/>
    <row r="4" spans="3:14" s="8" customFormat="1" ht="60.75" x14ac:dyDescent="0.3">
      <c r="C4" s="9" t="s">
        <v>0</v>
      </c>
      <c r="D4" s="10" t="s">
        <v>24</v>
      </c>
      <c r="E4" s="10" t="s">
        <v>22</v>
      </c>
      <c r="F4" s="10" t="s">
        <v>23</v>
      </c>
      <c r="G4" s="10" t="s">
        <v>22</v>
      </c>
      <c r="H4" s="11" t="s">
        <v>21</v>
      </c>
      <c r="I4" s="12" t="s">
        <v>25</v>
      </c>
      <c r="K4" s="8" t="s">
        <v>1</v>
      </c>
      <c r="L4" s="8" t="s">
        <v>2</v>
      </c>
    </row>
    <row r="5" spans="3:14" ht="20.25" x14ac:dyDescent="0.3">
      <c r="C5" s="13"/>
      <c r="D5" s="14"/>
      <c r="E5" s="15"/>
      <c r="F5" s="14"/>
      <c r="G5" s="15"/>
      <c r="H5" s="16"/>
      <c r="I5" s="17"/>
      <c r="J5" s="4"/>
      <c r="K5" s="4"/>
      <c r="L5" s="4"/>
    </row>
    <row r="6" spans="3:14" ht="20.25" x14ac:dyDescent="0.3">
      <c r="C6" s="13">
        <v>1</v>
      </c>
      <c r="D6" s="14" t="s">
        <v>19</v>
      </c>
      <c r="E6" s="18">
        <v>7742</v>
      </c>
      <c r="F6" s="14" t="str">
        <f>+D7</f>
        <v>Mti Mkubwa</v>
      </c>
      <c r="G6" s="18">
        <v>9498</v>
      </c>
      <c r="H6" s="19" t="s">
        <v>14</v>
      </c>
      <c r="I6" s="17">
        <v>4</v>
      </c>
      <c r="J6" s="4"/>
      <c r="K6" s="5">
        <v>2360</v>
      </c>
      <c r="L6" s="5">
        <v>2895</v>
      </c>
      <c r="N6" s="1" t="str">
        <f>CLEAN(D6)</f>
        <v>Londorossi Gate</v>
      </c>
    </row>
    <row r="7" spans="3:14" s="3" customFormat="1" ht="20.25" x14ac:dyDescent="0.3">
      <c r="C7" s="20">
        <v>2</v>
      </c>
      <c r="D7" s="21" t="s">
        <v>3</v>
      </c>
      <c r="E7" s="22">
        <v>9498</v>
      </c>
      <c r="F7" s="21" t="str">
        <f t="shared" ref="F7:F15" si="0">+D8</f>
        <v>Shira 1 Camp</v>
      </c>
      <c r="G7" s="22">
        <v>11500</v>
      </c>
      <c r="H7" s="23" t="s">
        <v>8</v>
      </c>
      <c r="I7" s="24">
        <v>5</v>
      </c>
      <c r="J7" s="6"/>
      <c r="K7" s="7">
        <v>2895</v>
      </c>
      <c r="L7" s="7">
        <v>3505</v>
      </c>
    </row>
    <row r="8" spans="3:14" ht="20.25" x14ac:dyDescent="0.3">
      <c r="C8" s="13">
        <v>3</v>
      </c>
      <c r="D8" s="14" t="s">
        <v>4</v>
      </c>
      <c r="E8" s="18">
        <v>11500</v>
      </c>
      <c r="F8" s="14" t="str">
        <f t="shared" si="0"/>
        <v>Moir Hut</v>
      </c>
      <c r="G8" s="18">
        <v>13800</v>
      </c>
      <c r="H8" s="19" t="s">
        <v>9</v>
      </c>
      <c r="I8" s="17">
        <v>7</v>
      </c>
      <c r="J8" s="4"/>
      <c r="K8" s="5">
        <v>3505</v>
      </c>
      <c r="L8" s="5">
        <v>4200</v>
      </c>
    </row>
    <row r="9" spans="3:14" s="3" customFormat="1" ht="20.25" x14ac:dyDescent="0.3">
      <c r="C9" s="20">
        <v>4</v>
      </c>
      <c r="D9" s="21" t="s">
        <v>15</v>
      </c>
      <c r="E9" s="22">
        <v>13800</v>
      </c>
      <c r="F9" s="21" t="str">
        <f t="shared" si="0"/>
        <v>Lava Tower</v>
      </c>
      <c r="G9" s="22">
        <v>15190</v>
      </c>
      <c r="H9" s="25" t="s">
        <v>10</v>
      </c>
      <c r="I9" s="24">
        <v>4</v>
      </c>
      <c r="J9" s="6"/>
      <c r="K9" s="7">
        <v>4200</v>
      </c>
      <c r="L9" s="7">
        <v>4630</v>
      </c>
    </row>
    <row r="10" spans="3:14" s="3" customFormat="1" ht="20.25" x14ac:dyDescent="0.3">
      <c r="C10" s="20"/>
      <c r="D10" s="21" t="s">
        <v>5</v>
      </c>
      <c r="E10" s="22">
        <v>15190</v>
      </c>
      <c r="F10" s="21" t="str">
        <f t="shared" si="0"/>
        <v>Barranco Camp</v>
      </c>
      <c r="G10" s="22">
        <v>13044</v>
      </c>
      <c r="H10" s="25" t="s">
        <v>11</v>
      </c>
      <c r="I10" s="24">
        <v>2</v>
      </c>
      <c r="J10" s="6"/>
      <c r="K10" s="7">
        <v>4630</v>
      </c>
      <c r="L10" s="7">
        <v>3976</v>
      </c>
    </row>
    <row r="11" spans="3:14" ht="20.25" x14ac:dyDescent="0.3">
      <c r="C11" s="13">
        <v>5</v>
      </c>
      <c r="D11" s="14" t="s">
        <v>16</v>
      </c>
      <c r="E11" s="18">
        <v>13044</v>
      </c>
      <c r="F11" s="14" t="str">
        <f t="shared" si="0"/>
        <v>Karanga Camp</v>
      </c>
      <c r="G11" s="18">
        <v>13106</v>
      </c>
      <c r="H11" s="19" t="s">
        <v>10</v>
      </c>
      <c r="I11" s="17">
        <v>3</v>
      </c>
      <c r="J11" s="4"/>
      <c r="K11" s="5">
        <v>3976</v>
      </c>
      <c r="L11" s="5">
        <v>3995</v>
      </c>
    </row>
    <row r="12" spans="3:14" s="3" customFormat="1" ht="20.25" x14ac:dyDescent="0.3">
      <c r="C12" s="20">
        <v>6</v>
      </c>
      <c r="D12" s="21" t="s">
        <v>17</v>
      </c>
      <c r="E12" s="22">
        <v>13106</v>
      </c>
      <c r="F12" s="21" t="str">
        <f t="shared" si="0"/>
        <v>Barafu Camp</v>
      </c>
      <c r="G12" s="22">
        <v>15331</v>
      </c>
      <c r="H12" s="25" t="s">
        <v>10</v>
      </c>
      <c r="I12" s="24">
        <v>2</v>
      </c>
      <c r="J12" s="6"/>
      <c r="K12" s="7">
        <v>3995</v>
      </c>
      <c r="L12" s="7">
        <v>4673</v>
      </c>
    </row>
    <row r="13" spans="3:14" ht="20.25" x14ac:dyDescent="0.3">
      <c r="C13" s="13">
        <v>7</v>
      </c>
      <c r="D13" s="14" t="s">
        <v>18</v>
      </c>
      <c r="E13" s="18">
        <v>15331</v>
      </c>
      <c r="F13" s="14" t="str">
        <f t="shared" si="0"/>
        <v>Uhuru Peak</v>
      </c>
      <c r="G13" s="18">
        <v>19341</v>
      </c>
      <c r="H13" s="19" t="s">
        <v>12</v>
      </c>
      <c r="I13" s="17">
        <v>3</v>
      </c>
      <c r="J13" s="4"/>
      <c r="K13" s="5">
        <v>4673</v>
      </c>
      <c r="L13" s="5">
        <v>5895</v>
      </c>
    </row>
    <row r="14" spans="3:14" ht="20.25" x14ac:dyDescent="0.3">
      <c r="C14" s="13"/>
      <c r="D14" s="14" t="s">
        <v>6</v>
      </c>
      <c r="E14" s="18">
        <v>19341</v>
      </c>
      <c r="F14" s="14" t="str">
        <f t="shared" si="0"/>
        <v>Mweka Camp</v>
      </c>
      <c r="G14" s="18">
        <v>10065</v>
      </c>
      <c r="H14" s="19" t="s">
        <v>13</v>
      </c>
      <c r="I14" s="17">
        <v>7</v>
      </c>
      <c r="J14" s="4"/>
      <c r="K14" s="5">
        <v>5895</v>
      </c>
      <c r="L14" s="5">
        <v>3068</v>
      </c>
    </row>
    <row r="15" spans="3:14" s="3" customFormat="1" ht="20.25" x14ac:dyDescent="0.3">
      <c r="C15" s="20">
        <v>8</v>
      </c>
      <c r="D15" s="21" t="s">
        <v>7</v>
      </c>
      <c r="E15" s="22">
        <v>10065</v>
      </c>
      <c r="F15" s="21" t="str">
        <f t="shared" si="0"/>
        <v>Total Elevation Gain</v>
      </c>
      <c r="G15" s="22">
        <v>5380</v>
      </c>
      <c r="H15" s="25" t="s">
        <v>14</v>
      </c>
      <c r="I15" s="24">
        <v>6</v>
      </c>
      <c r="J15" s="6"/>
      <c r="K15" s="7">
        <v>3068</v>
      </c>
      <c r="L15" s="7">
        <v>1640</v>
      </c>
    </row>
    <row r="16" spans="3:14" ht="21" thickBot="1" x14ac:dyDescent="0.35">
      <c r="C16" s="26"/>
      <c r="D16" s="27" t="s">
        <v>20</v>
      </c>
      <c r="E16" s="28"/>
      <c r="F16" s="27"/>
      <c r="G16" s="29">
        <f>+G13-E6</f>
        <v>11599</v>
      </c>
      <c r="H16" s="30" t="s">
        <v>26</v>
      </c>
      <c r="I16" s="31">
        <f>SUM(I6:I15)</f>
        <v>43</v>
      </c>
      <c r="J16" s="4"/>
      <c r="K16" s="4"/>
      <c r="L16" s="4"/>
    </row>
  </sheetData>
  <pageMargins left="0.7" right="0.7" top="0.75" bottom="0.75" header="0.3" footer="0.3"/>
  <pageSetup scale="120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O'Brien</dc:creator>
  <cp:lastModifiedBy>Jim O'Brien</cp:lastModifiedBy>
  <cp:lastPrinted>2018-02-04T20:25:25Z</cp:lastPrinted>
  <dcterms:created xsi:type="dcterms:W3CDTF">2018-02-02T21:08:04Z</dcterms:created>
  <dcterms:modified xsi:type="dcterms:W3CDTF">2018-02-04T20:25:25Z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c900cd69-5f68-40b9-bfb7-941a791c5d92</vt:lpwstr>
  </property>
</Properties>
</file>