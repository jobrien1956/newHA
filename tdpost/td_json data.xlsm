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defaultThemeVersion="166925"/>
  <mc:AlternateContent xmlns:mc="http://schemas.openxmlformats.org/markup-compatibility/2006">
    <mc:Choice Requires="x15">
      <x15ac:absPath xmlns:x15ac="http://schemas.microsoft.com/office/spreadsheetml/2010/11/ac" url="https://d.docs.live.net/4a9985e5bf3bb28c/havingadventures.com/tdpost/"/>
    </mc:Choice>
  </mc:AlternateContent>
  <xr:revisionPtr revIDLastSave="140" documentId="8_{2DA00604-5AA7-452C-ABE7-EC8A730CBC0C}" xr6:coauthVersionLast="47" xr6:coauthVersionMax="47" xr10:uidLastSave="{46A7C257-5C04-4607-9050-22A5E05F8C8E}"/>
  <bookViews>
    <workbookView xWindow="25440" yWindow="315" windowWidth="24795" windowHeight="19890" activeTab="2" xr2:uid="{ED881031-DF8A-45EF-9A11-8699C12C971E}"/>
  </bookViews>
  <sheets>
    <sheet name="Sheet1" sheetId="1" r:id="rId1"/>
    <sheet name="summary PAge" sheetId="2" r:id="rId2"/>
    <sheet name="Dailypages" sheetId="3" r:id="rId3"/>
    <sheet name="Sheet2" sheetId="4" r:id="rId4"/>
    <sheet name="Sheet3" sheetId="5" r:id="rId5"/>
  </sheets>
  <definedNames>
    <definedName name="_xlnm._FilterDatabase" localSheetId="0" hidden="1">Sheet1!$B$6:$N$717</definedName>
    <definedName name="_xlnm._FilterDatabase" localSheetId="4" hidden="1">Sheet3!$B$2:$D$185</definedName>
    <definedName name="_xlnm._FilterDatabase" localSheetId="1" hidden="1">'summary PAge'!$A$6:$C$715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61" i="4" l="1"/>
  <c r="G60" i="4"/>
  <c r="G58" i="4"/>
  <c r="G57" i="4"/>
  <c r="G50" i="4"/>
  <c r="G49" i="4"/>
  <c r="G47" i="4"/>
  <c r="G46" i="4"/>
  <c r="B167" i="3" l="1"/>
  <c r="B166" i="3"/>
  <c r="B116" i="3"/>
  <c r="B72" i="3"/>
  <c r="B71" i="3"/>
  <c r="B51" i="3"/>
  <c r="B10" i="3"/>
  <c r="B9" i="3"/>
  <c r="B8" i="3"/>
  <c r="B30" i="3"/>
  <c r="B133" i="3"/>
  <c r="B143" i="3"/>
  <c r="B164" i="3"/>
  <c r="B140" i="3"/>
  <c r="B131" i="3"/>
  <c r="B125" i="3"/>
  <c r="B85" i="3"/>
  <c r="B45" i="3"/>
  <c r="B79" i="3"/>
  <c r="B40" i="3"/>
  <c r="B55" i="3"/>
  <c r="T52" i="3" l="1"/>
  <c r="S52" i="3"/>
  <c r="B53" i="3"/>
  <c r="B48" i="3"/>
  <c r="E89" i="3"/>
  <c r="E1" i="3"/>
  <c r="F1" i="3" s="1"/>
  <c r="G1" i="3" s="1"/>
  <c r="H1" i="3" s="1"/>
  <c r="I1" i="3" s="1"/>
  <c r="J1" i="3" s="1"/>
  <c r="K1" i="3" s="1"/>
  <c r="L1" i="3" s="1"/>
  <c r="M1" i="3" s="1"/>
  <c r="N1" i="3" s="1"/>
  <c r="O1" i="3" s="1"/>
  <c r="P1" i="3" s="1"/>
  <c r="Q1" i="3" s="1"/>
  <c r="R1" i="3" s="1"/>
  <c r="S1" i="3" s="1"/>
  <c r="T1" i="3" s="1"/>
  <c r="U1" i="3" s="1"/>
  <c r="V1" i="3" s="1"/>
  <c r="W1" i="3" s="1"/>
  <c r="X1" i="3" s="1"/>
  <c r="Y1" i="3" s="1"/>
  <c r="Z1" i="3" s="1"/>
  <c r="AA1" i="3" s="1"/>
  <c r="AB1" i="3" s="1"/>
  <c r="AC1" i="3" s="1"/>
  <c r="AD1" i="3" s="1"/>
  <c r="AE1" i="3" s="1"/>
  <c r="AF1" i="3" s="1"/>
  <c r="AG1" i="3" s="1"/>
  <c r="AH1" i="3" s="1"/>
  <c r="AI1" i="3" s="1"/>
  <c r="AJ1" i="3" s="1"/>
  <c r="AK1" i="3" s="1"/>
  <c r="AL1" i="3" s="1"/>
  <c r="C1" i="3"/>
  <c r="D2" i="3" l="1"/>
  <c r="E2" i="3" s="1"/>
  <c r="F2" i="3" s="1"/>
  <c r="G2" i="3" s="1"/>
  <c r="H2" i="3" s="1"/>
  <c r="I2" i="3" s="1"/>
  <c r="J2" i="3" s="1"/>
  <c r="K2" i="3" s="1"/>
  <c r="L2" i="3" s="1"/>
  <c r="M2" i="3" s="1"/>
  <c r="N2" i="3" s="1"/>
  <c r="O2" i="3" s="1"/>
  <c r="P2" i="3" s="1"/>
  <c r="Q2" i="3" s="1"/>
  <c r="R2" i="3" s="1"/>
  <c r="S2" i="3" s="1"/>
  <c r="T2" i="3" s="1"/>
  <c r="U2" i="3" s="1"/>
  <c r="V2" i="3" s="1"/>
  <c r="W2" i="3" s="1"/>
  <c r="X2" i="3" s="1"/>
  <c r="Y2" i="3" s="1"/>
  <c r="Z2" i="3" s="1"/>
  <c r="AA2" i="3" s="1"/>
  <c r="AB2" i="3" s="1"/>
  <c r="AC2" i="3" s="1"/>
  <c r="AD2" i="3" s="1"/>
  <c r="AE2" i="3" s="1"/>
  <c r="AF2" i="3" s="1"/>
  <c r="AG2" i="3" s="1"/>
  <c r="AH2" i="3" s="1"/>
  <c r="AI2" i="3" s="1"/>
  <c r="AJ2" i="3" s="1"/>
  <c r="AK2" i="3" s="1"/>
  <c r="AL2" i="3" s="1"/>
  <c r="A714" i="2" l="1"/>
  <c r="A712" i="2"/>
  <c r="A709" i="2"/>
  <c r="A705" i="2"/>
  <c r="A702" i="2"/>
  <c r="A700" i="2"/>
  <c r="A699" i="2"/>
  <c r="A695" i="2"/>
  <c r="A693" i="2"/>
  <c r="A690" i="2"/>
  <c r="A686" i="2"/>
  <c r="A683" i="2"/>
  <c r="A681" i="2"/>
  <c r="A680" i="2"/>
  <c r="A675" i="2"/>
  <c r="A673" i="2"/>
  <c r="A670" i="2"/>
  <c r="A666" i="2"/>
  <c r="A663" i="2"/>
  <c r="A661" i="2"/>
  <c r="A660" i="2"/>
  <c r="A655" i="2"/>
  <c r="A653" i="2"/>
  <c r="A650" i="2"/>
  <c r="A646" i="2"/>
  <c r="A643" i="2"/>
  <c r="A641" i="2"/>
  <c r="A640" i="2"/>
  <c r="A635" i="2"/>
  <c r="A633" i="2"/>
  <c r="A630" i="2"/>
  <c r="A626" i="2"/>
  <c r="A623" i="2"/>
  <c r="A621" i="2"/>
  <c r="A620" i="2"/>
  <c r="A615" i="2"/>
  <c r="A613" i="2"/>
  <c r="A610" i="2"/>
  <c r="A606" i="2"/>
  <c r="A603" i="2"/>
  <c r="A601" i="2"/>
  <c r="A600" i="2"/>
  <c r="A595" i="2"/>
  <c r="A593" i="2"/>
  <c r="A590" i="2"/>
  <c r="A586" i="2"/>
  <c r="A583" i="2"/>
  <c r="A581" i="2"/>
  <c r="A580" i="2"/>
  <c r="A575" i="2"/>
  <c r="A573" i="2"/>
  <c r="A570" i="2"/>
  <c r="A566" i="2"/>
  <c r="A563" i="2"/>
  <c r="A561" i="2"/>
  <c r="A560" i="2"/>
  <c r="A556" i="2"/>
  <c r="A554" i="2"/>
  <c r="A551" i="2"/>
  <c r="A547" i="2"/>
  <c r="A544" i="2"/>
  <c r="A542" i="2"/>
  <c r="A541" i="2"/>
  <c r="A537" i="2"/>
  <c r="A535" i="2"/>
  <c r="A532" i="2"/>
  <c r="A528" i="2"/>
  <c r="A525" i="2"/>
  <c r="A523" i="2"/>
  <c r="A522" i="2"/>
  <c r="A518" i="2"/>
  <c r="A516" i="2"/>
  <c r="A513" i="2"/>
  <c r="A509" i="2"/>
  <c r="A506" i="2"/>
  <c r="A504" i="2"/>
  <c r="A503" i="2"/>
  <c r="A499" i="2"/>
  <c r="A497" i="2"/>
  <c r="A494" i="2"/>
  <c r="A490" i="2"/>
  <c r="A487" i="2"/>
  <c r="A485" i="2"/>
  <c r="A484" i="2"/>
  <c r="A480" i="2"/>
  <c r="A478" i="2"/>
  <c r="A476" i="2"/>
  <c r="A472" i="2"/>
  <c r="A469" i="2"/>
  <c r="A467" i="2"/>
  <c r="A466" i="2"/>
  <c r="A461" i="2"/>
  <c r="A459" i="2"/>
  <c r="A456" i="2"/>
  <c r="A452" i="2"/>
  <c r="A449" i="2"/>
  <c r="A447" i="2"/>
  <c r="A446" i="2"/>
  <c r="A441" i="2"/>
  <c r="A439" i="2"/>
  <c r="A436" i="2"/>
  <c r="A432" i="2"/>
  <c r="A429" i="2"/>
  <c r="A427" i="2"/>
  <c r="A426" i="2"/>
  <c r="A421" i="2"/>
  <c r="A419" i="2"/>
  <c r="A416" i="2"/>
  <c r="A412" i="2"/>
  <c r="A409" i="2"/>
  <c r="A407" i="2"/>
  <c r="A406" i="2"/>
  <c r="A401" i="2"/>
  <c r="A399" i="2"/>
  <c r="A396" i="2"/>
  <c r="A392" i="2"/>
  <c r="A389" i="2"/>
  <c r="A387" i="2"/>
  <c r="A386" i="2"/>
  <c r="A381" i="2"/>
  <c r="A379" i="2"/>
  <c r="A376" i="2"/>
  <c r="A372" i="2"/>
  <c r="A369" i="2"/>
  <c r="A367" i="2"/>
  <c r="A366" i="2"/>
  <c r="A361" i="2"/>
  <c r="A359" i="2"/>
  <c r="A356" i="2"/>
  <c r="A352" i="2"/>
  <c r="A349" i="2"/>
  <c r="A347" i="2"/>
  <c r="A346" i="2"/>
  <c r="A341" i="2"/>
  <c r="A339" i="2"/>
  <c r="A336" i="2"/>
  <c r="A332" i="2"/>
  <c r="A329" i="2"/>
  <c r="A327" i="2"/>
  <c r="A326" i="2"/>
  <c r="A321" i="2"/>
  <c r="A319" i="2"/>
  <c r="A316" i="2"/>
  <c r="A312" i="2"/>
  <c r="A309" i="2"/>
  <c r="A307" i="2"/>
  <c r="A306" i="2"/>
  <c r="A301" i="2"/>
  <c r="A299" i="2"/>
  <c r="A296" i="2"/>
  <c r="A292" i="2"/>
  <c r="A289" i="2"/>
  <c r="A287" i="2"/>
  <c r="A286" i="2"/>
  <c r="A281" i="2"/>
  <c r="A279" i="2"/>
  <c r="A276" i="2"/>
  <c r="A272" i="2"/>
  <c r="A269" i="2"/>
  <c r="A267" i="2"/>
  <c r="A266" i="2"/>
  <c r="A261" i="2"/>
  <c r="A259" i="2"/>
  <c r="A256" i="2"/>
  <c r="A252" i="2"/>
  <c r="A249" i="2"/>
  <c r="A247" i="2"/>
  <c r="A246" i="2"/>
  <c r="A241" i="2"/>
  <c r="A239" i="2"/>
  <c r="A236" i="2"/>
  <c r="A232" i="2"/>
  <c r="A229" i="2"/>
  <c r="A227" i="2"/>
  <c r="A226" i="2"/>
  <c r="A221" i="2"/>
  <c r="A219" i="2"/>
  <c r="A216" i="2"/>
  <c r="A212" i="2"/>
  <c r="A209" i="2"/>
  <c r="A207" i="2"/>
  <c r="A206" i="2"/>
  <c r="A201" i="2"/>
  <c r="A199" i="2"/>
  <c r="A196" i="2"/>
  <c r="A192" i="2"/>
  <c r="A189" i="2"/>
  <c r="A187" i="2"/>
  <c r="A186" i="2"/>
  <c r="A181" i="2"/>
  <c r="A179" i="2"/>
  <c r="A176" i="2"/>
  <c r="A172" i="2"/>
  <c r="A169" i="2"/>
  <c r="A167" i="2"/>
  <c r="A166" i="2"/>
  <c r="A161" i="2"/>
  <c r="A159" i="2"/>
  <c r="A156" i="2"/>
  <c r="A152" i="2"/>
  <c r="A149" i="2"/>
  <c r="A147" i="2"/>
  <c r="A146" i="2"/>
  <c r="A141" i="2"/>
  <c r="A139" i="2"/>
  <c r="A136" i="2"/>
  <c r="A132" i="2"/>
  <c r="A129" i="2"/>
  <c r="A127" i="2"/>
  <c r="A126" i="2"/>
  <c r="A121" i="2"/>
  <c r="A119" i="2"/>
  <c r="A116" i="2"/>
  <c r="A112" i="2"/>
  <c r="A109" i="2"/>
  <c r="A107" i="2"/>
  <c r="A106" i="2"/>
  <c r="A101" i="2"/>
  <c r="A99" i="2"/>
  <c r="A96" i="2"/>
  <c r="A92" i="2"/>
  <c r="A89" i="2"/>
  <c r="A87" i="2"/>
  <c r="A86" i="2"/>
  <c r="A81" i="2"/>
  <c r="A79" i="2"/>
  <c r="A76" i="2"/>
  <c r="A72" i="2"/>
  <c r="A69" i="2"/>
  <c r="A67" i="2"/>
  <c r="A66" i="2"/>
  <c r="A61" i="2"/>
  <c r="A59" i="2"/>
  <c r="A56" i="2"/>
  <c r="A52" i="2"/>
  <c r="A49" i="2"/>
  <c r="A47" i="2"/>
  <c r="A46" i="2"/>
  <c r="A41" i="2"/>
  <c r="A39" i="2"/>
  <c r="A36" i="2"/>
  <c r="A32" i="2"/>
  <c r="A29" i="2"/>
  <c r="A27" i="2"/>
  <c r="A26" i="2"/>
  <c r="A21" i="2"/>
  <c r="A19" i="2"/>
  <c r="A16" i="2"/>
  <c r="A12" i="2"/>
  <c r="A9" i="2"/>
  <c r="A7" i="2"/>
  <c r="A6" i="2"/>
  <c r="A715" i="2"/>
  <c r="A696" i="2"/>
  <c r="A676" i="2"/>
  <c r="A656" i="2"/>
  <c r="A636" i="2"/>
  <c r="A616" i="2"/>
  <c r="A596" i="2"/>
  <c r="A576" i="2"/>
  <c r="A557" i="2"/>
  <c r="A538" i="2"/>
  <c r="A519" i="2"/>
  <c r="A500" i="2"/>
  <c r="A481" i="2"/>
  <c r="A462" i="2"/>
  <c r="A442" i="2"/>
  <c r="A422" i="2"/>
  <c r="A402" i="2"/>
  <c r="A382" i="2"/>
  <c r="A362" i="2"/>
  <c r="A342" i="2"/>
  <c r="A322" i="2"/>
  <c r="A302" i="2"/>
  <c r="A282" i="2"/>
  <c r="A262" i="2"/>
  <c r="A242" i="2"/>
  <c r="A222" i="2"/>
  <c r="A202" i="2"/>
  <c r="A182" i="2"/>
  <c r="A162" i="2"/>
  <c r="A142" i="2"/>
  <c r="A122" i="2"/>
  <c r="A102" i="2"/>
  <c r="A82" i="2"/>
  <c r="A62" i="2"/>
  <c r="A42" i="2"/>
  <c r="A22" i="2"/>
  <c r="J715" i="1"/>
  <c r="J714" i="1"/>
  <c r="J712" i="1"/>
  <c r="J709" i="1"/>
  <c r="J705" i="1"/>
  <c r="J702" i="1"/>
  <c r="J700" i="1"/>
  <c r="J699" i="1"/>
  <c r="J696" i="1"/>
  <c r="J695" i="1"/>
  <c r="J693" i="1"/>
  <c r="J690" i="1"/>
  <c r="J686" i="1"/>
  <c r="J683" i="1"/>
  <c r="J681" i="1"/>
  <c r="J680" i="1"/>
  <c r="J676" i="1"/>
  <c r="J675" i="1"/>
  <c r="J673" i="1"/>
  <c r="J670" i="1"/>
  <c r="J666" i="1"/>
  <c r="J663" i="1"/>
  <c r="J661" i="1"/>
  <c r="J660" i="1"/>
  <c r="J656" i="1"/>
  <c r="J655" i="1"/>
  <c r="J653" i="1"/>
  <c r="J650" i="1"/>
  <c r="J646" i="1"/>
  <c r="J643" i="1"/>
  <c r="J641" i="1"/>
  <c r="J640" i="1"/>
  <c r="J636" i="1"/>
  <c r="J635" i="1"/>
  <c r="J633" i="1"/>
  <c r="J630" i="1"/>
  <c r="J626" i="1"/>
  <c r="J623" i="1"/>
  <c r="J621" i="1"/>
  <c r="J620" i="1"/>
  <c r="J616" i="1"/>
  <c r="J615" i="1"/>
  <c r="J613" i="1"/>
  <c r="J610" i="1"/>
  <c r="J606" i="1"/>
  <c r="J603" i="1"/>
  <c r="J601" i="1"/>
  <c r="J600" i="1"/>
  <c r="J596" i="1"/>
  <c r="J595" i="1"/>
  <c r="J593" i="1"/>
  <c r="J590" i="1"/>
  <c r="J586" i="1"/>
  <c r="J583" i="1"/>
  <c r="J581" i="1"/>
  <c r="J580" i="1"/>
  <c r="J576" i="1"/>
  <c r="J575" i="1"/>
  <c r="J573" i="1"/>
  <c r="J570" i="1"/>
  <c r="J566" i="1"/>
  <c r="J563" i="1"/>
  <c r="J561" i="1"/>
  <c r="J560" i="1"/>
  <c r="J557" i="1"/>
  <c r="J556" i="1"/>
  <c r="J554" i="1"/>
  <c r="J551" i="1"/>
  <c r="J547" i="1"/>
  <c r="J544" i="1"/>
  <c r="J542" i="1"/>
  <c r="J541" i="1"/>
  <c r="J538" i="1"/>
  <c r="J537" i="1"/>
  <c r="J535" i="1"/>
  <c r="J532" i="1"/>
  <c r="J528" i="1"/>
  <c r="J525" i="1"/>
  <c r="J523" i="1"/>
  <c r="J522" i="1"/>
  <c r="J519" i="1"/>
  <c r="J518" i="1"/>
  <c r="J516" i="1"/>
  <c r="J513" i="1"/>
  <c r="J509" i="1"/>
  <c r="J506" i="1"/>
  <c r="J504" i="1"/>
  <c r="J503" i="1"/>
  <c r="J497" i="1"/>
  <c r="J499" i="1"/>
  <c r="J500" i="1"/>
  <c r="J494" i="1"/>
  <c r="J490" i="1"/>
  <c r="J487" i="1"/>
  <c r="J485" i="1"/>
  <c r="J484" i="1"/>
  <c r="J478" i="1"/>
  <c r="J481" i="1"/>
  <c r="J480" i="1"/>
  <c r="J476" i="1"/>
  <c r="J472" i="1"/>
  <c r="J469" i="1"/>
  <c r="J467" i="1"/>
  <c r="J466" i="1"/>
  <c r="J462" i="1"/>
  <c r="J461" i="1"/>
  <c r="J459" i="1"/>
  <c r="J456" i="1"/>
  <c r="J452" i="1"/>
  <c r="J449" i="1"/>
  <c r="J447" i="1"/>
  <c r="J446" i="1"/>
  <c r="J442" i="1"/>
  <c r="J441" i="1"/>
  <c r="J439" i="1"/>
  <c r="J436" i="1"/>
  <c r="J432" i="1"/>
  <c r="J429" i="1"/>
  <c r="J427" i="1"/>
  <c r="J426" i="1"/>
  <c r="J422" i="1"/>
  <c r="J421" i="1"/>
  <c r="J419" i="1"/>
  <c r="J416" i="1"/>
  <c r="J412" i="1"/>
  <c r="J409" i="1"/>
  <c r="J407" i="1"/>
  <c r="J406" i="1"/>
  <c r="J402" i="1"/>
  <c r="J401" i="1"/>
  <c r="J399" i="1"/>
  <c r="J396" i="1"/>
  <c r="J392" i="1"/>
  <c r="J389" i="1"/>
  <c r="J387" i="1"/>
  <c r="J386" i="1"/>
  <c r="J382" i="1"/>
  <c r="J381" i="1"/>
  <c r="J379" i="1"/>
  <c r="J376" i="1"/>
  <c r="J372" i="1"/>
  <c r="J369" i="1"/>
  <c r="J367" i="1"/>
  <c r="J366" i="1"/>
  <c r="J362" i="1"/>
  <c r="J361" i="1"/>
  <c r="J359" i="1"/>
  <c r="J356" i="1"/>
  <c r="J352" i="1"/>
  <c r="J349" i="1"/>
  <c r="J347" i="1"/>
  <c r="J346" i="1"/>
  <c r="J342" i="1"/>
  <c r="J341" i="1"/>
  <c r="J339" i="1"/>
  <c r="J336" i="1"/>
  <c r="J332" i="1"/>
  <c r="J329" i="1"/>
  <c r="J327" i="1"/>
  <c r="J326" i="1"/>
  <c r="J322" i="1"/>
  <c r="J321" i="1"/>
  <c r="J319" i="1"/>
  <c r="J316" i="1"/>
  <c r="J312" i="1"/>
  <c r="J309" i="1"/>
  <c r="J307" i="1"/>
  <c r="J306" i="1"/>
  <c r="J302" i="1"/>
  <c r="J301" i="1"/>
  <c r="J299" i="1"/>
  <c r="J296" i="1"/>
  <c r="J292" i="1"/>
  <c r="J289" i="1"/>
  <c r="J287" i="1"/>
  <c r="J286" i="1"/>
  <c r="J282" i="1"/>
  <c r="J281" i="1"/>
  <c r="J279" i="1"/>
  <c r="J276" i="1"/>
  <c r="J272" i="1"/>
  <c r="J269" i="1"/>
  <c r="J267" i="1"/>
  <c r="J266" i="1"/>
  <c r="J262" i="1"/>
  <c r="J261" i="1"/>
  <c r="J259" i="1"/>
  <c r="J256" i="1"/>
  <c r="J252" i="1"/>
  <c r="J249" i="1"/>
  <c r="J247" i="1"/>
  <c r="J246" i="1"/>
  <c r="J242" i="1"/>
  <c r="J241" i="1"/>
  <c r="J239" i="1"/>
  <c r="J236" i="1"/>
  <c r="J232" i="1"/>
  <c r="J229" i="1"/>
  <c r="J227" i="1"/>
  <c r="J226" i="1"/>
  <c r="J222" i="1"/>
  <c r="J221" i="1"/>
  <c r="J219" i="1"/>
  <c r="J216" i="1"/>
  <c r="J212" i="1"/>
  <c r="J209" i="1"/>
  <c r="J207" i="1"/>
  <c r="J206" i="1"/>
  <c r="J202" i="1"/>
  <c r="J201" i="1"/>
  <c r="J199" i="1"/>
  <c r="J196" i="1"/>
  <c r="J192" i="1"/>
  <c r="J189" i="1"/>
  <c r="J187" i="1"/>
  <c r="J186" i="1"/>
  <c r="J182" i="1"/>
  <c r="J181" i="1"/>
  <c r="J179" i="1"/>
  <c r="J176" i="1"/>
  <c r="J172" i="1"/>
  <c r="J169" i="1"/>
  <c r="J167" i="1"/>
  <c r="J166" i="1"/>
  <c r="J162" i="1"/>
  <c r="J161" i="1"/>
  <c r="J159" i="1"/>
  <c r="J156" i="1"/>
  <c r="J152" i="1"/>
  <c r="J149" i="1"/>
  <c r="J147" i="1"/>
  <c r="J146" i="1"/>
  <c r="J142" i="1"/>
  <c r="J141" i="1"/>
  <c r="J139" i="1"/>
  <c r="J136" i="1"/>
  <c r="J132" i="1"/>
  <c r="J129" i="1"/>
  <c r="J127" i="1"/>
  <c r="J126" i="1"/>
  <c r="J122" i="1"/>
  <c r="J121" i="1"/>
  <c r="J119" i="1"/>
  <c r="J116" i="1"/>
  <c r="J112" i="1"/>
  <c r="J109" i="1"/>
  <c r="J107" i="1"/>
  <c r="J106" i="1"/>
  <c r="J102" i="1"/>
  <c r="J101" i="1"/>
  <c r="J99" i="1"/>
  <c r="J96" i="1"/>
  <c r="J92" i="1"/>
  <c r="J89" i="1"/>
  <c r="J87" i="1"/>
  <c r="J86" i="1"/>
  <c r="J82" i="1"/>
  <c r="J81" i="1"/>
  <c r="J79" i="1"/>
  <c r="J76" i="1"/>
  <c r="J72" i="1"/>
  <c r="J69" i="1"/>
  <c r="J67" i="1"/>
  <c r="J66" i="1"/>
  <c r="J62" i="1"/>
  <c r="J61" i="1"/>
  <c r="J59" i="1"/>
  <c r="J56" i="1"/>
  <c r="J52" i="1"/>
  <c r="J49" i="1"/>
  <c r="J47" i="1"/>
  <c r="J46" i="1"/>
  <c r="J42" i="1"/>
  <c r="J41" i="1"/>
  <c r="J39" i="1"/>
  <c r="J36" i="1"/>
  <c r="J32" i="1"/>
  <c r="J29" i="1"/>
  <c r="J27" i="1"/>
  <c r="J26" i="1"/>
  <c r="J22" i="1"/>
  <c r="J21" i="1"/>
  <c r="J19" i="1"/>
  <c r="J16" i="1"/>
  <c r="J12" i="1"/>
  <c r="J9" i="1"/>
  <c r="J7" i="1"/>
  <c r="J6" i="1"/>
</calcChain>
</file>

<file path=xl/sharedStrings.xml><?xml version="1.0" encoding="utf-8"?>
<sst xmlns="http://schemas.openxmlformats.org/spreadsheetml/2006/main" count="7364" uniqueCount="2690">
  <si>
    <t>&lt;div class="container"&gt;</t>
  </si>
  <si>
    <t xml:space="preserve"> &lt;div class="row"&gt;</t>
  </si>
  <si>
    <t xml:space="preserve">  &lt;div class="col-lg-12"&gt;</t>
  </si>
  <si>
    <t xml:space="preserve">   &lt;h2&gt;First two weeks - June 9 to June 22, 2015&lt;/h2&gt;</t>
  </si>
  <si>
    <t xml:space="preserve">   &lt;div class="post-preview"&gt;&lt;!-- Day 1--&gt;</t>
  </si>
  <si>
    <t xml:space="preserve">    &lt;a href="tourdivide01.html"&gt;</t>
  </si>
  <si>
    <t xml:space="preserve">     &lt;h2 class="post-title"&gt;</t>
  </si>
  <si>
    <t xml:space="preserve">      Day 1 - Leaving Banff was the easy part.</t>
  </si>
  <si>
    <t xml:space="preserve">     &lt;/h2&gt;</t>
  </si>
  <si>
    <t xml:space="preserve">     &lt;h3&gt;</t>
  </si>
  <si>
    <t xml:space="preserve">      Those hills didn't look so steep in the pictures</t>
  </si>
  <si>
    <t xml:space="preserve">     &lt;/h3&gt;</t>
  </si>
  <si>
    <t xml:space="preserve">    &lt;/a&gt;</t>
  </si>
  <si>
    <t xml:space="preserve">    &lt;p class="post-meta"&gt;</t>
  </si>
  <si>
    <t xml:space="preserve">     Tuesday, June 9, 2015 Banff, Alberta, Canada to Bolton Trading Post</t>
  </si>
  <si>
    <t xml:space="preserve">    &lt;/p&gt;</t>
  </si>
  <si>
    <t xml:space="preserve">    &lt;h4&gt;</t>
  </si>
  <si>
    <t xml:space="preserve">     9:59AM, 6h48m, 62.4 miles, 4,814 ft of climbing</t>
  </si>
  <si>
    <t xml:space="preserve">    &lt;/h4&gt;</t>
  </si>
  <si>
    <t xml:space="preserve">     &lt;img class="img-responsive" src="../img/tourdivide/day01/day01pic02.jpg" alt="" width="100%"&gt;</t>
  </si>
  <si>
    <t xml:space="preserve">   &lt;/div&gt;&lt;!-- Day 1--&gt;</t>
  </si>
  <si>
    <t xml:space="preserve">   &lt;hr&gt;</t>
  </si>
  <si>
    <t xml:space="preserve">   &lt;div class="post-preview"&gt;&lt;!-- Day 2--&gt;</t>
  </si>
  <si>
    <t xml:space="preserve">    &lt;a href="tourdivide02.html"&gt;</t>
  </si>
  <si>
    <t xml:space="preserve">      Day 2 - Tires and Helmets</t>
  </si>
  <si>
    <t xml:space="preserve">      First Divide pass and a shaky set of tires</t>
  </si>
  <si>
    <t xml:space="preserve">     Wednesday, June 10, 2015 Bolton Trading Post to Elkford, BC</t>
  </si>
  <si>
    <t xml:space="preserve">     7:10am, 9h48m, 52.3 miles, 2,490 ft of climbing</t>
  </si>
  <si>
    <t xml:space="preserve">     &lt;img class="img-responsive" src="../img/tourdivide/day02/day02pic02.jpg" alt="" width="100%"&gt;</t>
  </si>
  <si>
    <t xml:space="preserve">   &lt;/div&gt;&lt;!-- Day 2--&gt;</t>
  </si>
  <si>
    <t xml:space="preserve">   &lt;div class="post-preview"&gt;&lt;!-- Day 3--&gt;</t>
  </si>
  <si>
    <t xml:space="preserve">    &lt;a href="tourdivide03.html"&gt;</t>
  </si>
  <si>
    <t xml:space="preserve">      Day 3 - Fixing the Bike and shedding gear</t>
  </si>
  <si>
    <t xml:space="preserve">      Another short ride and then some maintenance</t>
  </si>
  <si>
    <t xml:space="preserve">     Thursday, June 11, 2015 Elkford to Sparwood</t>
  </si>
  <si>
    <t xml:space="preserve">     7:16am, 3h30m, 30.7 miles, 1,562 ft of climbing</t>
  </si>
  <si>
    <t xml:space="preserve">     &lt;img class="img-responsive" src="../img/tourdivide/day03/day03pic00v2.jpg" alt="" width="100%"&gt;</t>
  </si>
  <si>
    <t xml:space="preserve">   &lt;/div&gt;&lt;!-- Day 3--&gt;</t>
  </si>
  <si>
    <t xml:space="preserve">   &lt;div class="post-preview"&gt;&lt;!-- Day 4--&gt;</t>
  </si>
  <si>
    <t xml:space="preserve">    &lt;a href="tourdivide04.html"&gt;</t>
  </si>
  <si>
    <t xml:space="preserve">      Day 04 - Stream or Trail??</t>
  </si>
  <si>
    <t xml:space="preserve">      Two passes then "...shooting guns and blowing stuff up"</t>
  </si>
  <si>
    <t xml:space="preserve">     Friday, June 12, 2015 Sparwood to part way up Cabin Pass</t>
  </si>
  <si>
    <t xml:space="preserve">     7:02am, 7h56m, 72.8 miles, 4,557 ft of climbing</t>
  </si>
  <si>
    <t xml:space="preserve">     &lt;img class="img-responsive" src="../img/tourdivide/day04/day04pic00.JPG" alt="" width="100%"&gt;</t>
  </si>
  <si>
    <t xml:space="preserve">   &lt;/div&gt;&lt;!-- Day 4--&gt;</t>
  </si>
  <si>
    <t xml:space="preserve">   &lt;div class="post-preview"&gt;&lt;!-- Day 5--&gt;</t>
  </si>
  <si>
    <t xml:space="preserve">    &lt;a href="tourdivide05.html"&gt;</t>
  </si>
  <si>
    <t xml:space="preserve">      Day 5 - Cabin Pass, The Wall (WTF) and Galton Pass</t>
  </si>
  <si>
    <t xml:space="preserve">      Last day in Canada and it's a good one</t>
  </si>
  <si>
    <t xml:space="preserve">     Saturday, June 13, 2015 Cabin Pass to Eureka, MT, USA</t>
  </si>
  <si>
    <t xml:space="preserve">     7:39am, 7h40m, 59.8 miles, 4,548 ft of climbing</t>
  </si>
  <si>
    <t xml:space="preserve">     &lt;img class="img-responsive" src="../img/tourdivide/day05/day05pic00.JPG" alt="" width="100%"&gt;</t>
  </si>
  <si>
    <t xml:space="preserve">   &lt;/div&gt;&lt;!-- Day 5--&gt;</t>
  </si>
  <si>
    <t xml:space="preserve">   &lt;div class="post-preview"&gt;&lt;!-- Day 6--&gt;</t>
  </si>
  <si>
    <t xml:space="preserve">    &lt;a href="tourdivide06.html"&gt;</t>
  </si>
  <si>
    <t xml:space="preserve">      Day 6 - Whitefish Pass and Red Meadow Lake</t>
  </si>
  <si>
    <t xml:space="preserve">      Now I know why you don't use tubes</t>
  </si>
  <si>
    <t xml:space="preserve">     Sunday, June 14, 2015 Eureka to Whitefish Lake, MT</t>
  </si>
  <si>
    <t xml:space="preserve">     5:57am, 10h3m, 94.7 miles, 5,833 ft of climbing</t>
  </si>
  <si>
    <t xml:space="preserve">     &lt;img class="img-responsive" src="../img/tourdivide/day06/day06pic00.JPG" alt="" width="100%"&gt;</t>
  </si>
  <si>
    <t xml:space="preserve">   &lt;/div&gt;&lt;!-- Day 6--&gt;</t>
  </si>
  <si>
    <t xml:space="preserve">   &lt;div class="post-preview"&gt;&lt;!-- Day 7--&gt;</t>
  </si>
  <si>
    <t xml:space="preserve">    &lt;a href="tourdivide07.html"&gt;</t>
  </si>
  <si>
    <t xml:space="preserve">      Day 07 - A flat 40 miles to a nice B&amp;B</t>
  </si>
  <si>
    <t xml:space="preserve">      A partial rest, laundry and an easy 47 including an extra 4</t>
  </si>
  <si>
    <t xml:space="preserve">     Monday, June 15, 2015 Whitefish to Ferndale, MT</t>
  </si>
  <si>
    <t xml:space="preserve">     11:38am, 3h55m, 47.3 miles, 986 ft of climbing</t>
  </si>
  <si>
    <t xml:space="preserve">     &lt;img class="img-responsive" src="../img/tourdivide/day07/day07pic00.JPG" alt="" width="100%"&gt;</t>
  </si>
  <si>
    <t xml:space="preserve">   &lt;/div&gt;&lt;!-- Day 7--&gt;</t>
  </si>
  <si>
    <t xml:space="preserve">   &lt;div class="post-preview"&gt;&lt;!-- Day 8--&gt;</t>
  </si>
  <si>
    <t xml:space="preserve">    &lt;a href="tourdivide08.html"&gt;</t>
  </si>
  <si>
    <t xml:space="preserve">      Day 08 - Grizzly Country and climbs just for fun</t>
  </si>
  <si>
    <t xml:space="preserve">      Tough climbs, a nice ride until washboard - great setting at the end</t>
  </si>
  <si>
    <t xml:space="preserve">     Tuesday, June 16, 2015 Ferndale to Holland Lake, MT</t>
  </si>
  <si>
    <t xml:space="preserve">     left at 8:39am, 8h24m, 71.8 miles, 5,697 ft of climbing</t>
  </si>
  <si>
    <t xml:space="preserve">     &lt;img class="img-responsive" src="../img/tourdivide/day08/day08pic00.JPG" alt="" width="100%"&gt;</t>
  </si>
  <si>
    <t xml:space="preserve">   &lt;/div&gt;&lt;!-- Day 8--&gt;</t>
  </si>
  <si>
    <t xml:space="preserve">   &lt;div class="post-preview"&gt;&lt;!-- Day 9--&gt;</t>
  </si>
  <si>
    <t xml:space="preserve">    &lt;a href="tourdivide09.html"&gt;</t>
  </si>
  <si>
    <t xml:space="preserve">      Day 9 - Coming around the mountain</t>
  </si>
  <si>
    <t xml:space="preserve">      Circling Richmond Peak and a huge save</t>
  </si>
  <si>
    <t xml:space="preserve">     Wednesday, June 17, 2015 Holland Lake to Ovando, MT</t>
  </si>
  <si>
    <t xml:space="preserve">     8:45 AM, 8h49m, 60.34 miles, 5,574 ft of climbing</t>
  </si>
  <si>
    <t xml:space="preserve">     &lt;img class="img-responsive" src="../img/tourdivide/day09/day09pic00.JPG" alt="" width="100%"&gt;</t>
  </si>
  <si>
    <t xml:space="preserve">   &lt;/div&gt;&lt;!-- Day 9--&gt;</t>
  </si>
  <si>
    <t xml:space="preserve">   &lt;div class="post-preview"&gt;&lt;!-- Day 10--&gt;</t>
  </si>
  <si>
    <t xml:space="preserve">    &lt;a href="tourdivide10.html"&gt;</t>
  </si>
  <si>
    <t xml:space="preserve">      Day 10 - Big climbing day</t>
  </si>
  <si>
    <t xml:space="preserve">      Walk the last pass - camp when it gets dark</t>
  </si>
  <si>
    <t xml:space="preserve">     Thursday, June 18, 2015 Ovando to Priest Pass, MT</t>
  </si>
  <si>
    <t xml:space="preserve">     6:55 AM, 15h10m, 86.70 miles, 8,000 ft of climbing</t>
  </si>
  <si>
    <t xml:space="preserve">     &lt;img class="img-responsive" src="../img/tourdivide/day10/day10pic00.jpg" alt="" width="100%"&gt;</t>
  </si>
  <si>
    <t xml:space="preserve">   &lt;/div&gt;&lt;!-- Day 10--&gt;</t>
  </si>
  <si>
    <t xml:space="preserve">   &lt;div class="post-preview"&gt;&lt;!-- Day 11--&gt;</t>
  </si>
  <si>
    <t xml:space="preserve">    &lt;a href="tourdivide11.html"&gt;</t>
  </si>
  <si>
    <t xml:space="preserve">      Day 11 - Helena and a rest day on N. Davis St</t>
  </si>
  <si>
    <t xml:space="preserve">      Trail magic, great breakfast, like new tires and a derailleur-hanger</t>
  </si>
  <si>
    <t xml:space="preserve">     Friday, June 19, 2015 Priest Pass to Helena, MT</t>
  </si>
  <si>
    <t xml:space="preserve">     5:57am, 1h 6m, 15.9 miles, 262 ft of climbing</t>
  </si>
  <si>
    <t xml:space="preserve">     &lt;img class="img-responsive" src="../img/tourdivide/day11/day11pic02.JPG" alt="" width="100%"&gt;</t>
  </si>
  <si>
    <t xml:space="preserve">   &lt;/div&gt;&lt;!-- Day 11--&gt;</t>
  </si>
  <si>
    <t xml:space="preserve">   &lt;div class="post-preview"&gt;&lt;!-- Day 12--&gt;</t>
  </si>
  <si>
    <t xml:space="preserve">    &lt;a href="tourdivide12.html"&gt;</t>
  </si>
  <si>
    <t xml:space="preserve">      Day 12 - Rocks, Roots and Missed Buses</t>
  </si>
  <si>
    <t xml:space="preserve">      Paying for wrong turns</t>
  </si>
  <si>
    <t xml:space="preserve">     Saturday, June 20, 2015 Helena to Butte, MT</t>
  </si>
  <si>
    <t xml:space="preserve">     6:56 AM 13h 54m 80.0mi 7,970ft of climbing</t>
  </si>
  <si>
    <t xml:space="preserve">     &lt;img class="img-responsive" src="../img/tourdivide/day12/day12pic07.jpg" alt="" width="100%"&gt;</t>
  </si>
  <si>
    <t xml:space="preserve">   &lt;/div&gt;&lt;!-- Day 12--&gt;</t>
  </si>
  <si>
    <t xml:space="preserve">   &lt;div class="post-preview"&gt;&lt;!-- Day 13--&gt;</t>
  </si>
  <si>
    <t xml:space="preserve">    &lt;a href="tourdivide13.html"&gt;</t>
  </si>
  <si>
    <t xml:space="preserve">      Day 13 - Rerouting to Jim's Tour Divide</t>
  </si>
  <si>
    <t xml:space="preserve">      Chocolate Milk at Great Divide Outfitters</t>
  </si>
  <si>
    <t xml:space="preserve">     Sunday, June 21, 2015 Butte to Wise River</t>
  </si>
  <si>
    <t xml:space="preserve">     8:45 AM, 8h 57m, 50.60 miles, 2,960 ft of climbing</t>
  </si>
  <si>
    <t xml:space="preserve">     &lt;img class="img-responsive" src="../img/tourdivide/day13/day13pic02.JPG" alt="" width="100%"&gt;</t>
  </si>
  <si>
    <t xml:space="preserve">   &lt;/div&gt;&lt;!-- Day 13--&gt;</t>
  </si>
  <si>
    <t xml:space="preserve">   &lt;div class="post-preview"&gt;&lt;!-- Day 14--&gt;</t>
  </si>
  <si>
    <t xml:space="preserve">    &lt;a href="tourdivide14.html"&gt;</t>
  </si>
  <si>
    <t xml:space="preserve">      Day 14 - Stretching it out and covering ground</t>
  </si>
  <si>
    <t xml:space="preserve">      What about this road by the reservoir?</t>
  </si>
  <si>
    <t xml:space="preserve">     Monday, June 22, 2015 Wise River to Lima</t>
  </si>
  <si>
    <t xml:space="preserve">     6:23am, 11h 21m, 105 miles, 4,188 ft of climbing</t>
  </si>
  <si>
    <t xml:space="preserve">     &lt;img class="img-responsive" src="../img/tourdivide/day14/day14pic00.jpg" alt="" width="100%"&gt;</t>
  </si>
  <si>
    <t xml:space="preserve">   &lt;/div&gt;&lt;!-- Day 14--&gt;</t>
  </si>
  <si>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1--&gt;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</si>
  <si>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="tourdivide01.html"</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</si>
  <si>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="post-title"</t>
    </r>
    <r>
      <rPr>
        <sz val="9.8000000000000007"/>
        <color rgb="FF000000"/>
        <rFont val="Consolas"/>
        <family val="3"/>
      </rPr>
      <t>&gt;</t>
    </r>
  </si>
  <si>
    <t xml:space="preserve">   Day 1 - Leaving Banff was the easy part.</t>
  </si>
  <si>
    <r>
      <t xml:space="preserve">  &lt;/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</si>
  <si>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h3</t>
    </r>
    <r>
      <rPr>
        <sz val="9.8000000000000007"/>
        <color rgb="FF000000"/>
        <rFont val="Consolas"/>
        <family val="3"/>
      </rPr>
      <t>&gt;</t>
    </r>
  </si>
  <si>
    <t xml:space="preserve">   Those hills didn't look so steep in the pictures</t>
  </si>
  <si>
    <r>
      <t xml:space="preserve">  &lt;/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</si>
  <si>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</si>
  <si>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p </t>
    </r>
    <r>
      <rPr>
        <b/>
        <sz val="9.8000000000000007"/>
        <color rgb="FF0000FF"/>
        <rFont val="Consolas"/>
        <family val="3"/>
      </rPr>
      <t>class</t>
    </r>
    <r>
      <rPr>
        <b/>
        <sz val="9.8000000000000007"/>
        <color rgb="FF008000"/>
        <rFont val="Consolas"/>
        <family val="3"/>
      </rPr>
      <t>="post-meta"</t>
    </r>
    <r>
      <rPr>
        <sz val="9.8000000000000007"/>
        <color rgb="FF000000"/>
        <rFont val="Consolas"/>
        <family val="3"/>
      </rPr>
      <t>&gt;</t>
    </r>
  </si>
  <si>
    <t xml:space="preserve">  Tuesday, June 9, 2015 Banff, Alberta, Canada to Bolton Trading Post</t>
  </si>
  <si>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</si>
  <si>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h4</t>
    </r>
    <r>
      <rPr>
        <sz val="9.8000000000000007"/>
        <color rgb="FF000000"/>
        <rFont val="Consolas"/>
        <family val="3"/>
      </rPr>
      <t>&gt;</t>
    </r>
  </si>
  <si>
    <t xml:space="preserve">  9:59AM, 6h48m, 62.4 miles, 4,814 ft of climbing</t>
  </si>
  <si>
    <r>
      <t xml:space="preserve"> &lt;/</t>
    </r>
    <r>
      <rPr>
        <b/>
        <sz val="9.8000000000000007"/>
        <color rgb="FF000080"/>
        <rFont val="Consolas"/>
        <family val="3"/>
      </rPr>
      <t>h4</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</si>
  <si>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="tourdivide01.html"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</si>
  <si>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="../img/tourdivide/day01/day01pic02.jpg"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</si>
  <si>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1--&gt;</t>
    </r>
  </si>
  <si>
    <r>
      <t>&lt;</t>
    </r>
    <r>
      <rPr>
        <b/>
        <sz val="9.8000000000000007"/>
        <color rgb="FF000080"/>
        <rFont val="Consolas"/>
        <family val="3"/>
      </rPr>
      <t>hr</t>
    </r>
    <r>
      <rPr>
        <sz val="9.8000000000000007"/>
        <color rgb="FF000000"/>
        <rFont val="Consolas"/>
        <family val="3"/>
      </rPr>
      <t>&gt;</t>
    </r>
  </si>
  <si>
    <t>dayid</t>
  </si>
  <si>
    <t>dayHref</t>
  </si>
  <si>
    <t>h2PostTitle</t>
  </si>
  <si>
    <t>h3SubTitle</t>
  </si>
  <si>
    <t>pPostMeta</t>
  </si>
  <si>
    <t>h4DateStats</t>
  </si>
  <si>
    <t>dayImg</t>
  </si>
  <si>
    <t>&lt;div class="post-preview"&gt;&lt;!-- Day 15--&gt;</t>
  </si>
  <si>
    <t xml:space="preserve"> &lt;a href="tourdivide15.html"&gt;</t>
  </si>
  <si>
    <t xml:space="preserve">  &lt;h2 class="post-title"&gt;</t>
  </si>
  <si>
    <t xml:space="preserve">   Day 15 - Wide open spaces</t>
  </si>
  <si>
    <t xml:space="preserve">  &lt;/h2&gt;</t>
  </si>
  <si>
    <t xml:space="preserve">  &lt;h3&gt;</t>
  </si>
  <si>
    <t xml:space="preserve">   Leaving Montana (finally)</t>
  </si>
  <si>
    <t xml:space="preserve">  &lt;/h3&gt;</t>
  </si>
  <si>
    <t xml:space="preserve"> &lt;/a&gt;</t>
  </si>
  <si>
    <t xml:space="preserve"> &lt;p class="post-meta"&gt;</t>
  </si>
  <si>
    <t xml:space="preserve">  Tuesday, June 23, 2015 Lima to Mack's Inn</t>
  </si>
  <si>
    <t xml:space="preserve"> &lt;/p&gt;</t>
  </si>
  <si>
    <t xml:space="preserve"> &lt;h3&gt;</t>
  </si>
  <si>
    <t xml:space="preserve">  7:23am, 14h 15mm, 89 miles, 2,566 ft of climbing</t>
  </si>
  <si>
    <t xml:space="preserve"> &lt;/h3&gt;</t>
  </si>
  <si>
    <t xml:space="preserve">  &lt;img class="img-responsive" src="../img/tourdivide/day15/day15pic00.JPG" alt="" width="100%"&gt;</t>
  </si>
  <si>
    <t>&lt;/div&gt;&lt;!-- Day 15--&gt;</t>
  </si>
  <si>
    <t>&lt;hr&gt;</t>
  </si>
  <si>
    <t>&lt;div class="post-preview"&gt;&lt;!-- Day 16--&gt;</t>
  </si>
  <si>
    <t xml:space="preserve"> &lt;a href="tourdivide16.html"&gt;</t>
  </si>
  <si>
    <t xml:space="preserve">   Day 16 - Scenic Byway and some assistance</t>
  </si>
  <si>
    <t xml:space="preserve">   Past Mesa Falls towards the Tetons</t>
  </si>
  <si>
    <t xml:space="preserve">  Wednesday, June 24, 2015 Island Park to Flagg Ranch, WY</t>
  </si>
  <si>
    <t xml:space="preserve">  8:14 AM 81.1mi 3,374ft</t>
  </si>
  <si>
    <t xml:space="preserve">  &lt;img class="img-responsive" src="../img/tourdivide/day16/day16pic00.JPG" alt="" width="100%"&gt;</t>
  </si>
  <si>
    <t>&lt;/div&gt;&lt;!-- Day 16--&gt;</t>
  </si>
  <si>
    <t>&lt;div class="post-preview"&gt;&lt;!-- Day 17--&gt;</t>
  </si>
  <si>
    <t xml:space="preserve"> &lt;a href="tourdivide17.html"&gt;</t>
  </si>
  <si>
    <t xml:space="preserve">   Day 17 - Grand Teton NP in AM, Togwotee in PM</t>
  </si>
  <si>
    <t xml:space="preserve">   Lost tourists and finding hidden lakes</t>
  </si>
  <si>
    <t xml:space="preserve">  Thursday, June 25, 2015 Flagg Ranch to Lava Mountain Lodge, WY</t>
  </si>
  <si>
    <t xml:space="preserve">  08:14 AM, 61.8mi, 4,042ft of climbing</t>
  </si>
  <si>
    <t xml:space="preserve">  &lt;img class="img-responsive" src="../img/tourdivide/day17/day17pic00.jpg" alt="" width="100%"&gt;</t>
  </si>
  <si>
    <t>&lt;/div&gt;&lt;!-- Day 17--&gt;</t>
  </si>
  <si>
    <t>&lt;div class="post-preview"&gt;&lt;!-- Day 18--&gt;</t>
  </si>
  <si>
    <t xml:space="preserve"> &lt;a href="tourdivide18.html"&gt;</t>
  </si>
  <si>
    <t xml:space="preserve">   Day 18 - Union Pass only better</t>
  </si>
  <si>
    <t xml:space="preserve">   The Devil's Hole Trail and riding the divide</t>
  </si>
  <si>
    <t xml:space="preserve">  Friday, June 26, 2015 Lava Mountain Lodge to Pinedale, WY</t>
  </si>
  <si>
    <t xml:space="preserve">  6:24 AM 82.6mi 4,157ft of climbing</t>
  </si>
  <si>
    <t xml:space="preserve"> &lt;a href="tourdivide18.html#"&gt;</t>
  </si>
  <si>
    <t xml:space="preserve">  &lt;img class="img-responsive" src="../img/tourdivide/day18/day18pic00.JPG" alt="" width="100%"&gt;</t>
  </si>
  <si>
    <t>&lt;/div&gt;&lt;!-- Day 18--&gt;</t>
  </si>
  <si>
    <t>&lt;div class="post-preview"&gt;&lt;!-- Day 19--&gt;</t>
  </si>
  <si>
    <t xml:space="preserve"> &lt;a href="tourdivide19.html"&gt;</t>
  </si>
  <si>
    <t xml:space="preserve">   Day 19 - Wyoming - after the mountains</t>
  </si>
  <si>
    <t xml:space="preserve">   A long, hot day in the desert</t>
  </si>
  <si>
    <t xml:space="preserve">  Saturday, June 27, 2015 Pinedale to Atlantic City, WY</t>
  </si>
  <si>
    <t xml:space="preserve">  07:52 AM, 87.7mi, 3,560ft of climbing</t>
  </si>
  <si>
    <t xml:space="preserve">  &lt;img class="img-responsive" src="../img/tourdivide/day19/day19pic05d.JPG" alt="" width="100%"&gt;</t>
  </si>
  <si>
    <t>&lt;/div&gt;&lt;!-- Day 19--&gt;</t>
  </si>
  <si>
    <t>&lt;div class="post-preview"&gt;&lt;!-- Day 20--&gt;</t>
  </si>
  <si>
    <t xml:space="preserve"> &lt;a href="tourdivide20.html"&gt;</t>
  </si>
  <si>
    <t xml:space="preserve">   Day 20 - Another long day in Wyoming's Great Basin</t>
  </si>
  <si>
    <t xml:space="preserve">   Water supply and disappearing jeep trails</t>
  </si>
  <si>
    <t xml:space="preserve">  Sunday, June 28, 2015 Atlantic City to Wamsutter, WY</t>
  </si>
  <si>
    <t xml:space="preserve">  07:15 AM, 97.9mi, 2,712ft of climbing</t>
  </si>
  <si>
    <t xml:space="preserve"> &lt;a href="tourdivide20.html#"&gt;</t>
  </si>
  <si>
    <t xml:space="preserve">  &lt;img class="img-responsive" src="../img/tourdivide/day20/day20pic00.JPG" alt="" width="100%"&gt;</t>
  </si>
  <si>
    <t>&lt;/div&gt;&lt;!-- Day 20--&gt;</t>
  </si>
  <si>
    <t>&lt;div class="post-preview"&gt;&lt;!-- Day 21--&gt;</t>
  </si>
  <si>
    <t xml:space="preserve"> &lt;a href="tourdivide21.html"&gt;</t>
  </si>
  <si>
    <t xml:space="preserve">   Day 21 - Brush Mountain Lodge</t>
  </si>
  <si>
    <t xml:space="preserve">   My birthday in a slice of heaven</t>
  </si>
  <si>
    <t xml:space="preserve">  Monday, June 29, 2015 - Wamsutter, WY to Brush Mtn Lodge, CO</t>
  </si>
  <si>
    <t xml:space="preserve">  7:06 AM 81.9mi 3,928ft of climbing</t>
  </si>
  <si>
    <t xml:space="preserve">  &lt;img class="img-responsive" src="../img/tourdivide/day21/day21pic10.JPG" alt="" width="100%"&gt;</t>
  </si>
  <si>
    <t>&lt;/div&gt;&lt;!-- Day 21--&gt;</t>
  </si>
  <si>
    <t>&lt;div class="post-preview"&gt;&lt;!-- Day 22--&gt;</t>
  </si>
  <si>
    <t xml:space="preserve"> &lt;a href="tourdivide22.html"&gt;</t>
  </si>
  <si>
    <t xml:space="preserve">   Day 22 - Colorado Mountains</t>
  </si>
  <si>
    <t xml:space="preserve">   Long steady climbs and descents</t>
  </si>
  <si>
    <t xml:space="preserve">  Tuesday, June 30, 2015 Brush Mountain Lodge to Steamboat Springs, CO</t>
  </si>
  <si>
    <t xml:space="preserve">  07:55 AM, 50.5mi, 3,220ft of climbing</t>
  </si>
  <si>
    <t xml:space="preserve">  &lt;img class="img-responsive" src="../img/tourdivide/day22/day22pic00.JPG" alt="" width="100%"&gt;</t>
  </si>
  <si>
    <t>&lt;/div&gt;&lt;!-- Day 22--&gt;</t>
  </si>
  <si>
    <t>&lt;div class="post-preview"&gt;&lt;!-- Day 23--&gt;</t>
  </si>
  <si>
    <t xml:space="preserve"> &lt;a href="tourdivide23.html"&gt;</t>
  </si>
  <si>
    <t xml:space="preserve">   Day 23 - A long day out on the road</t>
  </si>
  <si>
    <t xml:space="preserve">   A giant coast into Kremmling and mind games</t>
  </si>
  <si>
    <t xml:space="preserve">  Wednesday, July 1, 2015 Steamboat Springs to Dillon, CO</t>
  </si>
  <si>
    <t xml:space="preserve">  06:55 AM, 108.7mi, 6,441ft of climbing</t>
  </si>
  <si>
    <t xml:space="preserve">  &lt;img class="img-responsive" src="../img/tourdivide/day23/day23pic00.JPG" alt="" width="100%"&gt;</t>
  </si>
  <si>
    <t>&lt;/div&gt;&lt;!-- Day 23--&gt;</t>
  </si>
  <si>
    <t>&lt;div class="post-preview"&gt;&lt;!-- Day 24--&gt;</t>
  </si>
  <si>
    <t xml:space="preserve"> &lt;a href="tourdivide24.html"&gt;</t>
  </si>
  <si>
    <t xml:space="preserve">   Day 24 - Dillon Reservoir, Breckenridge and Boreas Pass</t>
  </si>
  <si>
    <t xml:space="preserve">   Highest pass on my tour</t>
  </si>
  <si>
    <t xml:space="preserve">  Thursday, July 2, 2015 Dillon to Hartsel, CO&lt;/p&gt;</t>
  </si>
  <si>
    <t xml:space="preserve">  7:00 AM 68.0mi 3,507ft of climbing</t>
  </si>
  <si>
    <t xml:space="preserve">  &lt;img class="img-responsive" src="../img/tourdivide/day24/day24pic0401.JPG" alt="" width="100%"&gt;</t>
  </si>
  <si>
    <t>&lt;/div&gt;&lt;!-- Day 24--&gt;</t>
  </si>
  <si>
    <t xml:space="preserve">   Day 25 - July weather</t>
  </si>
  <si>
    <t xml:space="preserve">   More afternoon rains and washboard roads</t>
  </si>
  <si>
    <t xml:space="preserve">  Friday, July 3, 2015 Hartsel to Salida, CO</t>
  </si>
  <si>
    <t xml:space="preserve">  7:51 AM 48.4mi 2,300ft of climbing</t>
  </si>
  <si>
    <t>&lt;div class="post-preview"&gt;&lt;!-- Day 26--&gt;</t>
  </si>
  <si>
    <t xml:space="preserve"> &lt;a href="tourdivide26.html"&gt;</t>
  </si>
  <si>
    <t xml:space="preserve">   Day 26 - Marshall Pass and the Colorado Trail</t>
  </si>
  <si>
    <t xml:space="preserve">   Teepees, Rain and the 4th of July</t>
  </si>
  <si>
    <t xml:space="preserve">  Saturday, July 4, 2015 Salida to Sargents, CO</t>
  </si>
  <si>
    <t xml:space="preserve">  07:30 AM, 46.4mi, 4,382ft of climbing</t>
  </si>
  <si>
    <t xml:space="preserve">  &lt;img class="img-responsive" src="../img/tourdivide/day26/day26pic00.JPG" alt="" width="100%"&gt;</t>
  </si>
  <si>
    <t>&lt;/div&gt;&lt;!-- Day 26--&gt;</t>
  </si>
  <si>
    <t>&lt;div class="post-preview"&gt;&lt;!-- Day 27--&gt;</t>
  </si>
  <si>
    <t xml:space="preserve"> &lt;a href="tourdivide27.html"&gt;</t>
  </si>
  <si>
    <t xml:space="preserve">   Day 27 - Lighting and Thunder in the afternoon</t>
  </si>
  <si>
    <t xml:space="preserve">   Two passes and outrunning the rain</t>
  </si>
  <si>
    <t xml:space="preserve">  Sunday, July 5, 2015 Sargents to Del Norte, CO</t>
  </si>
  <si>
    <t xml:space="preserve">  07:49 AM, 101.0mi, 5,182ft of climbing</t>
  </si>
  <si>
    <t xml:space="preserve">  &lt;img class="img-responsive" src="../img/tourdivide/day27/day27pic02.JPG" alt="" width="100%"&gt;</t>
  </si>
  <si>
    <t>&lt;/div&gt;&lt;!-- Day 27--&gt;</t>
  </si>
  <si>
    <t>&lt;div class="post-preview"&gt;&lt;!-- Day 28--&gt;</t>
  </si>
  <si>
    <t xml:space="preserve"> &lt;a href="tourdivide28.html"&gt;</t>
  </si>
  <si>
    <t xml:space="preserve">   Day 28 - Getting some rest and plotting my course</t>
  </si>
  <si>
    <t xml:space="preserve">   The Library, Amish Cinnamon Rolls and Wild Boar</t>
  </si>
  <si>
    <t xml:space="preserve">  Monday, July 6, 2015 Del Norte</t>
  </si>
  <si>
    <t xml:space="preserve">  Sleeping in at the Windsor Hotel - zero ft of climbing</t>
  </si>
  <si>
    <t xml:space="preserve">  &lt;img class="img-responsive" src="../img/tourdivide/day28/day28pic00.JPG" alt="" width="100%"&gt;</t>
  </si>
  <si>
    <t>&lt;/div&gt;&lt;!-- Day 28--&gt;</t>
  </si>
  <si>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25--&gt;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</si>
  <si>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="tourdivide25.html"</t>
    </r>
    <r>
      <rPr>
        <sz val="9.8000000000000007"/>
        <color rgb="FF000000"/>
        <rFont val="Consolas"/>
        <family val="3"/>
      </rPr>
      <t>&gt;</t>
    </r>
  </si>
  <si>
    <r>
      <t xml:space="preserve"> &lt;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</si>
  <si>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</si>
  <si>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="tourdivide25.html"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</si>
  <si>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="../img/tourdivide/day25/day25pic02.JPG"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</si>
  <si>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25--&gt;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</si>
  <si>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29--&gt;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</si>
  <si>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="tourdivide29.html"</t>
    </r>
    <r>
      <rPr>
        <sz val="9.8000000000000007"/>
        <color rgb="FF000000"/>
        <rFont val="Consolas"/>
        <family val="3"/>
      </rPr>
      <t>&gt;</t>
    </r>
  </si>
  <si>
    <t xml:space="preserve">   Day 29 - A tough call to avoid thunderstorms</t>
  </si>
  <si>
    <t xml:space="preserve">   Riding in the rain</t>
  </si>
  <si>
    <t xml:space="preserve">  Tuesday, July 7, 2015 DelNorte to Antonito, CO</t>
  </si>
  <si>
    <t xml:space="preserve">  7:03am, 67.4 miles, 1,887ft of climbing</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</si>
  <si>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="tourdivide29.html"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</si>
  <si>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="../img/tourdivide/day29/day29pic11.JPG"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</si>
  <si>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29--&gt;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</si>
  <si>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30--&gt;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</si>
  <si>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="tourdivide30.html"</t>
    </r>
    <r>
      <rPr>
        <sz val="9.8000000000000007"/>
        <color rgb="FF000000"/>
        <rFont val="Consolas"/>
        <family val="3"/>
      </rPr>
      <t>&gt;</t>
    </r>
  </si>
  <si>
    <t xml:space="preserve">   Day 30 - Entering the final state</t>
  </si>
  <si>
    <t xml:space="preserve">   Dum spelled backward</t>
  </si>
  <si>
    <t xml:space="preserve">  Wednesday, July 8, 2015 Antonito, CO to Abiquiu, NM</t>
  </si>
  <si>
    <t xml:space="preserve">  06:58 AM, 87.1mi, 1,887ft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</si>
  <si>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="tourdivide30.html"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</si>
  <si>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="../img/tourdivide/day30/day30pic12.JPG"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</si>
  <si>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30--&gt;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</si>
  <si>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31--&gt;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</si>
  <si>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="tourdivide31.html"</t>
    </r>
    <r>
      <rPr>
        <sz val="9.8000000000000007"/>
        <color rgb="FF000000"/>
        <rFont val="Consolas"/>
        <family val="3"/>
      </rPr>
      <t>&gt;</t>
    </r>
  </si>
  <si>
    <t xml:space="preserve">   Day 31 - Abiquiu Reservoir and more desert</t>
  </si>
  <si>
    <t xml:space="preserve">   On the Road. Avoiding the mud.</t>
  </si>
  <si>
    <t xml:space="preserve">  Thursday, July 9, 2015 Abiquiu to Cuba</t>
  </si>
  <si>
    <t xml:space="preserve">  06:50 AM, 61.4mi, 3,804ft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</si>
  <si>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="tourdivide31.html"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</si>
  <si>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="../img/tourdivide/day31/day31pic06.JPG"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</si>
  <si>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31--&gt;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</si>
  <si>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32--&gt;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</si>
  <si>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="tourdivide32.html"</t>
    </r>
    <r>
      <rPr>
        <sz val="9.8000000000000007"/>
        <color rgb="FF000000"/>
        <rFont val="Consolas"/>
        <family val="3"/>
      </rPr>
      <t>&gt;</t>
    </r>
  </si>
  <si>
    <t xml:space="preserve">   Day 32 - Long day with an assist</t>
  </si>
  <si>
    <t xml:space="preserve">   Rain, wind and desert</t>
  </si>
  <si>
    <t xml:space="preserve">  Friday, July 10, 2015 Cuba to Grants, NM</t>
  </si>
  <si>
    <t xml:space="preserve">  05:53 AM, 121.8mi, 3,670ft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</si>
  <si>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="tourdivide32.html#"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</si>
  <si>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="../img/tourdivide/day32/day32pic02.JPG"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</si>
  <si>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32--&gt;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</si>
  <si>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33--&gt;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</si>
  <si>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="tourdivide33.html"</t>
    </r>
    <r>
      <rPr>
        <sz val="9.8000000000000007"/>
        <color rgb="FF000000"/>
        <rFont val="Consolas"/>
        <family val="3"/>
      </rPr>
      <t>&gt;</t>
    </r>
  </si>
  <si>
    <t xml:space="preserve">   Day 33 - El Malpais National Monument</t>
  </si>
  <si>
    <t xml:space="preserve">   Morning riding and snakes on the bed</t>
  </si>
  <si>
    <t xml:space="preserve">  Saturday, July 11, 2015 Grants to Quemado, NM</t>
  </si>
  <si>
    <t xml:space="preserve">  06:06 AM, 85.6mi, 2,083ft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</si>
  <si>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="tourdivide33.html"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</si>
  <si>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="../img/tourdivide/day33/day33pic00.jpg"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</si>
  <si>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33--&gt;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</si>
  <si>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34--&gt;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</si>
  <si>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="tourdivide34.html"</t>
    </r>
    <r>
      <rPr>
        <sz val="9.8000000000000007"/>
        <color rgb="FF000000"/>
        <rFont val="Consolas"/>
        <family val="3"/>
      </rPr>
      <t>&gt;</t>
    </r>
  </si>
  <si>
    <t xml:space="preserve">   Day 34 - The Afternoon Wind Switch</t>
  </si>
  <si>
    <t xml:space="preserve">   Apache Creek, Reserve and an extra 30 miles</t>
  </si>
  <si>
    <t xml:space="preserve">  Sunday, July 12, 2015 Quemado to Glenwood, NM</t>
  </si>
  <si>
    <t xml:space="preserve">  05:42 AM, 90.3mi, 3,360ft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</si>
  <si>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="tourdivide34.html#"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</si>
  <si>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="../img/tourdivide/day34/day34pic07.JPG"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</si>
  <si>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34--&gt;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</si>
  <si>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35--&gt;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</si>
  <si>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="tourdivide35.html"</t>
    </r>
    <r>
      <rPr>
        <sz val="9.8000000000000007"/>
        <color rgb="FF000000"/>
        <rFont val="Consolas"/>
        <family val="3"/>
      </rPr>
      <t>&gt;</t>
    </r>
  </si>
  <si>
    <t xml:space="preserve">   Day 35 - On to Silver City</t>
  </si>
  <si>
    <t xml:space="preserve">   The last divide crossing, really</t>
  </si>
  <si>
    <t xml:space="preserve">  Monday, July 13, 2015 Glenwood to Silver City, NM</t>
  </si>
  <si>
    <t xml:space="preserve">  6:08 AM, 63.8mi, 3,625ft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</si>
  <si>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="tourdivide35.html"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</si>
  <si>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="../img/tourdivide/day35/day35pic02.JPG"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</si>
  <si>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35--&gt;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</si>
  <si>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="post-preview"</t>
    </r>
    <r>
      <rPr>
        <sz val="9.8000000000000007"/>
        <color rgb="FF000000"/>
        <rFont val="Consolas"/>
        <family val="3"/>
      </rPr>
      <t>&gt;</t>
    </r>
    <r>
      <rPr>
        <i/>
        <sz val="9.8000000000000007"/>
        <color rgb="FF808080"/>
        <rFont val="Consolas"/>
        <family val="3"/>
      </rPr>
      <t>&lt;!-- Day 36--&gt;</t>
    </r>
  </si>
  <si>
    <r>
      <t xml:space="preserve"> </t>
    </r>
    <r>
      <rPr>
        <sz val="9.8000000000000007"/>
        <color rgb="FF000000"/>
        <rFont val="Consolas"/>
        <family val="3"/>
      </rPr>
      <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="tourdivide36.html"</t>
    </r>
    <r>
      <rPr>
        <sz val="9.8000000000000007"/>
        <color rgb="FF000000"/>
        <rFont val="Consolas"/>
        <family val="3"/>
      </rPr>
      <t>&gt;</t>
    </r>
  </si>
  <si>
    <t xml:space="preserve">   Day 36 - No more days</t>
  </si>
  <si>
    <t xml:space="preserve">   It's all downhill from here</t>
  </si>
  <si>
    <t xml:space="preserve">  Tuesday, July 14, 2015 Silver City, NM to Palomas, Mexico</t>
  </si>
  <si>
    <t xml:space="preserve">  6:28 AM, 6h 5m, 87.1mi, 507ft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</si>
  <si>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="tourdivide36.html"</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</si>
  <si>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="../img/tourdivide/day36/day36pic08.JPG"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</si>
  <si>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Day 36--&gt;</t>
    </r>
  </si>
  <si>
    <t>Day 15 - Wide open spaces</t>
  </si>
  <si>
    <t>Leaving Montana (finally)</t>
  </si>
  <si>
    <t>Tuesday, June 23, 2015 Lima to Mack's Inn</t>
  </si>
  <si>
    <t>7:23am, 14h 15mm, 89 miles, 2,566 ft of climbing</t>
  </si>
  <si>
    <t>Day 16 - Scenic Byway and some assistance</t>
  </si>
  <si>
    <t>Past Mesa Falls towards the Tetons</t>
  </si>
  <si>
    <t>Wednesday, June 24, 2015 Island Park to Flagg Ranch, WY</t>
  </si>
  <si>
    <t>8:14 AM 81.1mi 3,374ft</t>
  </si>
  <si>
    <t>Day 17 - Grand Teton NP in AM, Togwotee in PM</t>
  </si>
  <si>
    <t>Lost tourists and finding hidden lakes</t>
  </si>
  <si>
    <t>Thursday, June 25, 2015 Flagg Ranch to Lava Mountain Lodge, WY</t>
  </si>
  <si>
    <t>08:14 AM, 61.8mi, 4,042ft of climbing</t>
  </si>
  <si>
    <t>Day 18 - Union Pass only better</t>
  </si>
  <si>
    <t>The Devil's Hole Trail and riding the divide</t>
  </si>
  <si>
    <t>Friday, June 26, 2015 Lava Mountain Lodge to Pinedale, WY</t>
  </si>
  <si>
    <t>6:24 AM 82.6mi 4,157ft of climbing</t>
  </si>
  <si>
    <t>Day 19 - Wyoming - after the mountains</t>
  </si>
  <si>
    <t>A long, hot day in the desert</t>
  </si>
  <si>
    <t>Saturday, June 27, 2015 Pinedale to Atlantic City, WY</t>
  </si>
  <si>
    <t>07:52 AM, 87.7mi, 3,560ft of climbing</t>
  </si>
  <si>
    <t>Day 20 - Another long day in Wyoming's Great Basin</t>
  </si>
  <si>
    <t>Water supply and disappearing jeep trails</t>
  </si>
  <si>
    <t>Sunday, June 28, 2015 Atlantic City to Wamsutter, WY</t>
  </si>
  <si>
    <t>07:15 AM, 97.9mi, 2,712ft of climbing</t>
  </si>
  <si>
    <t>Day 21 - Brush Mountain Lodge</t>
  </si>
  <si>
    <t>My birthday in a slice of heaven</t>
  </si>
  <si>
    <t>Monday, June 29, 2015 - Wamsutter, WY to Brush Mtn Lodge, CO</t>
  </si>
  <si>
    <t>7:06 AM 81.9mi 3,928ft of climbing</t>
  </si>
  <si>
    <t>Day 22 - Colorado Mountains</t>
  </si>
  <si>
    <t>Long steady climbs and descents</t>
  </si>
  <si>
    <t>Tuesday, June 30, 2015 Brush Mountain Lodge to Steamboat Springs, CO</t>
  </si>
  <si>
    <t>07:55 AM, 50.5mi, 3,220ft of climbing</t>
  </si>
  <si>
    <t>Day 23 - A long day out on the road</t>
  </si>
  <si>
    <t>A giant coast into Kremmling and mind games</t>
  </si>
  <si>
    <t>Wednesday, July 1, 2015 Steamboat Springs to Dillon, CO</t>
  </si>
  <si>
    <t>06:55 AM, 108.7mi, 6,441ft of climbing</t>
  </si>
  <si>
    <t>Day 24 - Dillon Reservoir, Breckenridge and Boreas Pass</t>
  </si>
  <si>
    <t>Highest pass on my tour</t>
  </si>
  <si>
    <t>7:00 AM 68.0mi 3,507ft of climbing</t>
  </si>
  <si>
    <t>Day 25 - July weather</t>
  </si>
  <si>
    <t>More afternoon rains and washboard roads</t>
  </si>
  <si>
    <t>Friday, July 3, 2015 Hartsel to Salida, CO</t>
  </si>
  <si>
    <t>7:51 AM 48.4mi 2,300ft of climbing</t>
  </si>
  <si>
    <t>Day 26 - Marshall Pass and the Colorado Trail</t>
  </si>
  <si>
    <t>Teepees, Rain and the 4th of July</t>
  </si>
  <si>
    <t>Saturday, July 4, 2015 Salida to Sargents, CO</t>
  </si>
  <si>
    <t>07:30 AM, 46.4mi, 4,382ft of climbing</t>
  </si>
  <si>
    <t>Day 27 - Lighting and Thunder in the afternoon</t>
  </si>
  <si>
    <t>Two passes and outrunning the rain</t>
  </si>
  <si>
    <t>Sunday, July 5, 2015 Sargents to Del Norte, CO</t>
  </si>
  <si>
    <t>07:49 AM, 101.0mi, 5,182ft of climbing</t>
  </si>
  <si>
    <t>Day 28 - Getting some rest and plotting my course</t>
  </si>
  <si>
    <t>The Library, Amish Cinnamon Rolls and Wild Boar</t>
  </si>
  <si>
    <t>Monday, July 6, 2015 Del Norte</t>
  </si>
  <si>
    <t>Sleeping in at the Windsor Hotel - zero ft of climbing</t>
  </si>
  <si>
    <t>Day 29 - A tough call to avoid thunderstorms</t>
  </si>
  <si>
    <t>Riding in the rain</t>
  </si>
  <si>
    <t>Tuesday, July 7, 2015 DelNorte to Antonito, CO</t>
  </si>
  <si>
    <t>7:03am, 67.4 miles, 1,887ft of climbing</t>
  </si>
  <si>
    <t>Day 30 - Entering the final state</t>
  </si>
  <si>
    <t>Dum spelled backward</t>
  </si>
  <si>
    <t>Wednesday, July 8, 2015 Antonito, CO to Abiquiu, NM</t>
  </si>
  <si>
    <t>06:58 AM, 87.1mi, 1,887ft</t>
  </si>
  <si>
    <t>Day 31 - Abiquiu Reservoir and more desert</t>
  </si>
  <si>
    <t>On the Road. Avoiding the mud.</t>
  </si>
  <si>
    <t>Thursday, July 9, 2015 Abiquiu to Cuba</t>
  </si>
  <si>
    <t>06:50 AM, 61.4mi, 3,804ft</t>
  </si>
  <si>
    <t>Day 32 - Long day with an assist</t>
  </si>
  <si>
    <t>Rain, wind and desert</t>
  </si>
  <si>
    <t>Friday, July 10, 2015 Cuba to Grants, NM</t>
  </si>
  <si>
    <t>05:53 AM, 121.8mi, 3,670ft</t>
  </si>
  <si>
    <t>Day 33 - El Malpais National Monument</t>
  </si>
  <si>
    <t>Morning riding and snakes on the bed</t>
  </si>
  <si>
    <t>Saturday, July 11, 2015 Grants to Quemado, NM</t>
  </si>
  <si>
    <t>06:06 AM, 85.6mi, 2,083ft</t>
  </si>
  <si>
    <t>Day 34 - The Afternoon Wind Switch</t>
  </si>
  <si>
    <t>Apache Creek, Reserve and an extra 30 miles</t>
  </si>
  <si>
    <t>Sunday, July 12, 2015 Quemado to Glenwood, NM</t>
  </si>
  <si>
    <t>05:42 AM, 90.3mi, 3,360ft</t>
  </si>
  <si>
    <t>Day 35 - On to Silver City</t>
  </si>
  <si>
    <t>The last divide crossing, really</t>
  </si>
  <si>
    <t>Monday, July 13, 2015 Glenwood to Silver City, NM</t>
  </si>
  <si>
    <t>6:08 AM, 63.8mi, 3,625ft</t>
  </si>
  <si>
    <t>Day 36 - No more days</t>
  </si>
  <si>
    <t>It's all downhill from here</t>
  </si>
  <si>
    <t>Tuesday, July 14, 2015 Silver City, NM to Palomas, Mexico</t>
  </si>
  <si>
    <t>6:28 AM, 6h 5m, 87.1mi, 507ft</t>
  </si>
  <si>
    <t>Day 1 - Leaving Banff was the easy part.</t>
  </si>
  <si>
    <t>Those hills didn't look so steep in the pictures</t>
  </si>
  <si>
    <t>Tuesday, June 9, 2015 Banff, Alberta, Canada to Bolton Trading Post</t>
  </si>
  <si>
    <t>9:59AM, 6h48m, 62.4 miles, 4,814 ft of climbing</t>
  </si>
  <si>
    <t>Day 2 - Tires and Helmets</t>
  </si>
  <si>
    <t>First Divide pass and a shaky set of tires</t>
  </si>
  <si>
    <t>Wednesday, June 10, 2015 Bolton Trading Post to Elkford, BC</t>
  </si>
  <si>
    <t>7:10am, 9h48m, 52.3 miles, 2,490 ft of climbing</t>
  </si>
  <si>
    <t>Day 3 - Fixing the Bike and shedding gear</t>
  </si>
  <si>
    <t>Another short ride and then some maintenance</t>
  </si>
  <si>
    <t>Thursday, June 11, 2015 Elkford to Sparwood</t>
  </si>
  <si>
    <t>7:16am, 3h30m, 30.7 miles, 1,562 ft of climbing</t>
  </si>
  <si>
    <t>Day 04 - Stream or Trail??</t>
  </si>
  <si>
    <t>Friday, June 12, 2015 Sparwood to part way up Cabin Pass</t>
  </si>
  <si>
    <t>7:02am, 7h56m, 72.8 miles, 4,557 ft of climbing</t>
  </si>
  <si>
    <t>Day 5 - Cabin Pass, The Wall (WTF) and Galton Pass</t>
  </si>
  <si>
    <t>Last day in Canada and it's a good one</t>
  </si>
  <si>
    <t>Saturday, June 13, 2015 Cabin Pass to Eureka, MT, USA</t>
  </si>
  <si>
    <t>7:39am, 7h40m, 59.8 miles, 4,548 ft of climbing</t>
  </si>
  <si>
    <t>Day 6 - Whitefish Pass and Red Meadow Lake</t>
  </si>
  <si>
    <t>Now I know why you don't use tubes</t>
  </si>
  <si>
    <t>Sunday, June 14, 2015 Eureka to Whitefish Lake, MT</t>
  </si>
  <si>
    <t>5:57am, 10h3m, 94.7 miles, 5,833 ft of climbing</t>
  </si>
  <si>
    <t>Day 07 - A flat 40 miles to a nice B&amp;B</t>
  </si>
  <si>
    <t>A partial rest, laundry and an easy 47 including an extra 4</t>
  </si>
  <si>
    <t>Monday, June 15, 2015 Whitefish to Ferndale, MT</t>
  </si>
  <si>
    <t>11:38am, 3h55m, 47.3 miles, 986 ft of climbing</t>
  </si>
  <si>
    <t>Day 08 - Grizzly Country and climbs just for fun</t>
  </si>
  <si>
    <t>Tough climbs, a nice ride until washboard - great setting at the end</t>
  </si>
  <si>
    <t>Tuesday, June 16, 2015 Ferndale to Holland Lake, MT</t>
  </si>
  <si>
    <t>left at 8:39am, 8h24m, 71.8 miles, 5,697 ft of climbing</t>
  </si>
  <si>
    <t>Day 9 - Coming around the mountain</t>
  </si>
  <si>
    <t>Circling Richmond Peak and a huge save</t>
  </si>
  <si>
    <t>Wednesday, June 17, 2015 Holland Lake to Ovando, MT</t>
  </si>
  <si>
    <t>8:45 AM, 8h49m, 60.34 miles, 5,574 ft of climbing</t>
  </si>
  <si>
    <t>Day 10 - Big climbing day</t>
  </si>
  <si>
    <t>Walk the last pass - camp when it gets dark</t>
  </si>
  <si>
    <t>Thursday, June 18, 2015 Ovando to Priest Pass, MT</t>
  </si>
  <si>
    <t>6:55 AM, 15h10m, 86.70 miles, 8,000 ft of climbing</t>
  </si>
  <si>
    <t>Day 11 - Helena and a rest day on N. Davis St</t>
  </si>
  <si>
    <t>Trail magic, great breakfast, like new tires and a derailleur-hanger</t>
  </si>
  <si>
    <t>Friday, June 19, 2015 Priest Pass to Helena, MT</t>
  </si>
  <si>
    <t>5:57am, 1h 6m, 15.9 miles, 262 ft of climbing</t>
  </si>
  <si>
    <t>Day 12 - Rocks, Roots and Missed Buses</t>
  </si>
  <si>
    <t>Paying for wrong turns</t>
  </si>
  <si>
    <t>Saturday, June 20, 2015 Helena to Butte, MT</t>
  </si>
  <si>
    <t>6:56 AM 13h 54m 80.0mi 7,970ft of climbing</t>
  </si>
  <si>
    <t>Day 13 - Rerouting to Jim's Tour Divide</t>
  </si>
  <si>
    <t>Chocolate Milk at Great Divide Outfitters</t>
  </si>
  <si>
    <t>Sunday, June 21, 2015 Butte to Wise River</t>
  </si>
  <si>
    <t>8:45 AM, 8h 57m, 50.60 miles, 2,960 ft of climbing</t>
  </si>
  <si>
    <t>Day 14 - Stretching it out and covering ground</t>
  </si>
  <si>
    <t>What about this road by the reservoir?</t>
  </si>
  <si>
    <t>Monday, June 22, 2015 Wise River to Lima</t>
  </si>
  <si>
    <t>6:23am, 11h 21m, 105 miles, 4,188 ft of climbing</t>
  </si>
  <si>
    <t>Two passes then ...shooting guns and blowing stuff up</t>
  </si>
  <si>
    <t xml:space="preserve"> Day 1</t>
  </si>
  <si>
    <t xml:space="preserve"> Day 2</t>
  </si>
  <si>
    <t xml:space="preserve"> Day 3</t>
  </si>
  <si>
    <t xml:space="preserve"> Day 4</t>
  </si>
  <si>
    <t xml:space="preserve"> Day 5</t>
  </si>
  <si>
    <t xml:space="preserve"> Day 6</t>
  </si>
  <si>
    <t xml:space="preserve"> Day 7</t>
  </si>
  <si>
    <t xml:space="preserve"> Day 8</t>
  </si>
  <si>
    <t xml:space="preserve"> Day 9</t>
  </si>
  <si>
    <t xml:space="preserve"> Day 10</t>
  </si>
  <si>
    <t xml:space="preserve"> Day 11</t>
  </si>
  <si>
    <t xml:space="preserve"> Day 12</t>
  </si>
  <si>
    <t xml:space="preserve"> Day 13</t>
  </si>
  <si>
    <t xml:space="preserve"> Day 14</t>
  </si>
  <si>
    <t xml:space="preserve"> Day 15</t>
  </si>
  <si>
    <t xml:space="preserve"> Day 16</t>
  </si>
  <si>
    <t xml:space="preserve"> Day 17</t>
  </si>
  <si>
    <t xml:space="preserve"> Day 18</t>
  </si>
  <si>
    <t xml:space="preserve"> Day 19</t>
  </si>
  <si>
    <t xml:space="preserve"> Day 20</t>
  </si>
  <si>
    <t xml:space="preserve"> Day 21</t>
  </si>
  <si>
    <t xml:space="preserve"> Day 22</t>
  </si>
  <si>
    <t xml:space="preserve"> Day 23</t>
  </si>
  <si>
    <t xml:space="preserve"> Day 24</t>
  </si>
  <si>
    <t xml:space="preserve"> Day 25</t>
  </si>
  <si>
    <t xml:space="preserve"> Day 26</t>
  </si>
  <si>
    <t xml:space="preserve"> Day 27</t>
  </si>
  <si>
    <t xml:space="preserve"> Day 28</t>
  </si>
  <si>
    <t xml:space="preserve"> Day 29</t>
  </si>
  <si>
    <t xml:space="preserve"> Day 30</t>
  </si>
  <si>
    <t xml:space="preserve"> Day 31</t>
  </si>
  <si>
    <t xml:space="preserve"> Day 32</t>
  </si>
  <si>
    <t xml:space="preserve"> Day 33</t>
  </si>
  <si>
    <t xml:space="preserve"> Day 34</t>
  </si>
  <si>
    <t xml:space="preserve"> Day 35</t>
  </si>
  <si>
    <t xml:space="preserve"> Day 36</t>
  </si>
  <si>
    <t>tourdivide01.html</t>
  </si>
  <si>
    <t>tourdivide02.html</t>
  </si>
  <si>
    <t>tourdivide03.html</t>
  </si>
  <si>
    <t>tourdivide04.html</t>
  </si>
  <si>
    <t>tourdivide05.html</t>
  </si>
  <si>
    <t>tourdivide06.html</t>
  </si>
  <si>
    <t>tourdivide07.html</t>
  </si>
  <si>
    <t>tourdivide08.html</t>
  </si>
  <si>
    <t>tourdivide09.html</t>
  </si>
  <si>
    <t>tourdivide10.html</t>
  </si>
  <si>
    <t>tourdivide11.html</t>
  </si>
  <si>
    <t>tourdivide12.html</t>
  </si>
  <si>
    <t>tourdivide13.html</t>
  </si>
  <si>
    <t>tourdivide14.html</t>
  </si>
  <si>
    <t>tourdivide15.html</t>
  </si>
  <si>
    <t>tourdivide16.html</t>
  </si>
  <si>
    <t>tourdivide17.html</t>
  </si>
  <si>
    <t>tourdivide18.html</t>
  </si>
  <si>
    <t>tourdivide18.html#</t>
  </si>
  <si>
    <t>tourdivide19.html</t>
  </si>
  <si>
    <t>tourdivide20.html</t>
  </si>
  <si>
    <t>tourdivide20.html#</t>
  </si>
  <si>
    <t>tourdivide21.html</t>
  </si>
  <si>
    <t>tourdivide22.html</t>
  </si>
  <si>
    <t>tourdivide23.html</t>
  </si>
  <si>
    <t>tourdivide24.html</t>
  </si>
  <si>
    <t>Thursday, July 2, 2015 Dillon to Hartsel, CO&lt;/p</t>
  </si>
  <si>
    <t>tourdivide25.html</t>
  </si>
  <si>
    <t>tourdivide26.html</t>
  </si>
  <si>
    <t>tourdivide27.html</t>
  </si>
  <si>
    <t>tourdivide28.html</t>
  </si>
  <si>
    <t>tourdivide29.html</t>
  </si>
  <si>
    <t>tourdivide30.html</t>
  </si>
  <si>
    <t>tourdivide31.html</t>
  </si>
  <si>
    <t>tourdivide32.html</t>
  </si>
  <si>
    <t>tourdivide32.html#</t>
  </si>
  <si>
    <t>tourdivide33.html</t>
  </si>
  <si>
    <t>tourdivide34.html</t>
  </si>
  <si>
    <t>tourdivide34.html#</t>
  </si>
  <si>
    <t>tourdivide35.html</t>
  </si>
  <si>
    <t>tourdivide36.html</t>
  </si>
  <si>
    <t>../img/tourdivide/day01/day01pic02.jpg</t>
  </si>
  <si>
    <t>../img/tourdivide/day02/day02pic02.jpg</t>
  </si>
  <si>
    <t>../img/tourdivide/day03/day03pic00v2.jpg</t>
  </si>
  <si>
    <t>../img/tourdivide/day04/day04pic00.JPG</t>
  </si>
  <si>
    <t>../img/tourdivide/day05/day05pic00.JPG</t>
  </si>
  <si>
    <t>../img/tourdivide/day06/day06pic00.JPG</t>
  </si>
  <si>
    <t>../img/tourdivide/day07/day07pic00.JPG</t>
  </si>
  <si>
    <t>../img/tourdivide/day08/day08pic00.JPG</t>
  </si>
  <si>
    <t>../img/tourdivide/day09/day09pic00.JPG</t>
  </si>
  <si>
    <t>../img/tourdivide/day10/day10pic00.jpg</t>
  </si>
  <si>
    <t>../img/tourdivide/day11/day11pic02.JPG</t>
  </si>
  <si>
    <t>../img/tourdivide/day12/day12pic07.jpg</t>
  </si>
  <si>
    <t>../img/tourdivide/day13/day13pic02.JPG</t>
  </si>
  <si>
    <t>../img/tourdivide/day14/day14pic00.jpg</t>
  </si>
  <si>
    <t>../img/tourdivide/day15/day15pic00.JPG</t>
  </si>
  <si>
    <t>../img/tourdivide/day16/day16pic00.JPG</t>
  </si>
  <si>
    <t>../img/tourdivide/day17/day17pic00.jpg</t>
  </si>
  <si>
    <t>../img/tourdivide/day18/day18pic00.JPG</t>
  </si>
  <si>
    <t>../img/tourdivide/day19/day19pic05d.JPG</t>
  </si>
  <si>
    <t>../img/tourdivide/day20/day20pic00.JPG</t>
  </si>
  <si>
    <t>../img/tourdivide/day21/day21pic10.JPG</t>
  </si>
  <si>
    <t>../img/tourdivide/day22/day22pic00.JPG</t>
  </si>
  <si>
    <t>../img/tourdivide/day23/day23pic00.JPG</t>
  </si>
  <si>
    <t>../img/tourdivide/day24/day24pic0401.JPG</t>
  </si>
  <si>
    <t>../img/tourdivide/day25/day25pic02.JPG</t>
  </si>
  <si>
    <t>../img/tourdivide/day26/day26pic00.JPG</t>
  </si>
  <si>
    <t>../img/tourdivide/day27/day27pic02.JPG</t>
  </si>
  <si>
    <t>../img/tourdivide/day28/day28pic00.JPG</t>
  </si>
  <si>
    <t>../img/tourdivide/day29/day29pic11.JPG</t>
  </si>
  <si>
    <t>../img/tourdivide/day30/day30pic12.JPG</t>
  </si>
  <si>
    <t>../img/tourdivide/day31/day31pic06.JPG</t>
  </si>
  <si>
    <t>../img/tourdivide/day32/day32pic02.JPG</t>
  </si>
  <si>
    <t>../img/tourdivide/day33/day33pic00.jpg</t>
  </si>
  <si>
    <t>../img/tourdivide/day34/day34pic07.JPG</t>
  </si>
  <si>
    <t>../img/tourdivide/day35/day35pic02.JPG</t>
  </si>
  <si>
    <t>../img/tourdivide/day36/day36pic08.JPG</t>
  </si>
  <si>
    <t>{</t>
  </si>
  <si>
    <t>'dayImg' : '../img/tourdivide/day01/day01pic02.jpg'</t>
  </si>
  <si>
    <t>'dayImg' : '../img/tourdivide/day02/day02pic02.jpg'</t>
  </si>
  <si>
    <t>'dayImg' : '../img/tourdivide/day03/day03pic00v2.jpg'</t>
  </si>
  <si>
    <t>'dayImg' : '../img/tourdivide/day04/day04pic00.JPG'</t>
  </si>
  <si>
    <t>'dayImg' : '../img/tourdivide/day05/day05pic00.JPG'</t>
  </si>
  <si>
    <t>'dayImg' : '../img/tourdivide/day06/day06pic00.JPG'</t>
  </si>
  <si>
    <t>'dayImg' : '../img/tourdivide/day07/day07pic00.JPG'</t>
  </si>
  <si>
    <t>'dayImg' : '../img/tourdivide/day08/day08pic00.JPG'</t>
  </si>
  <si>
    <t>'dayImg' : '../img/tourdivide/day09/day09pic00.JPG'</t>
  </si>
  <si>
    <t>'dayImg' : '../img/tourdivide/day10/day10pic00.jpg'</t>
  </si>
  <si>
    <t>'dayImg' : '../img/tourdivide/day11/day11pic02.JPG'</t>
  </si>
  <si>
    <t>'dayImg' : '../img/tourdivide/day12/day12pic07.jpg'</t>
  </si>
  <si>
    <t>'dayImg' : '../img/tourdivide/day13/day13pic02.JPG'</t>
  </si>
  <si>
    <t>'dayImg' : '../img/tourdivide/day14/day14pic00.jpg'</t>
  </si>
  <si>
    <t>'dayImg' : '../img/tourdivide/day15/day15pic00.JPG'</t>
  </si>
  <si>
    <t>'dayImg' : '../img/tourdivide/day16/day16pic00.JPG'</t>
  </si>
  <si>
    <t>'dayImg' : '../img/tourdivide/day17/day17pic00.jpg'</t>
  </si>
  <si>
    <t>'dayImg' : '../img/tourdivide/day18/day18pic00.JPG'</t>
  </si>
  <si>
    <t>'dayImg' : '../img/tourdivide/day19/day19pic05d.JPG'</t>
  </si>
  <si>
    <t>'dayImg' : '../img/tourdivide/day20/day20pic00.JPG'</t>
  </si>
  <si>
    <t>'dayImg' : '../img/tourdivide/day21/day21pic10.JPG'</t>
  </si>
  <si>
    <t>'dayImg' : '../img/tourdivide/day22/day22pic00.JPG'</t>
  </si>
  <si>
    <t>'dayImg' : '../img/tourdivide/day23/day23pic00.JPG'</t>
  </si>
  <si>
    <t>'dayImg' : '../img/tourdivide/day24/day24pic0401.JPG'</t>
  </si>
  <si>
    <t>'dayImg' : '../img/tourdivide/day25/day25pic02.JPG'</t>
  </si>
  <si>
    <t>'dayImg' : '../img/tourdivide/day26/day26pic00.JPG'</t>
  </si>
  <si>
    <t>'dayImg' : '../img/tourdivide/day27/day27pic02.JPG'</t>
  </si>
  <si>
    <t>'dayImg' : '../img/tourdivide/day28/day28pic00.JPG'</t>
  </si>
  <si>
    <t>'dayImg' : '../img/tourdivide/day29/day29pic11.JPG'</t>
  </si>
  <si>
    <t>'dayImg' : '../img/tourdivide/day30/day30pic12.JPG'</t>
  </si>
  <si>
    <t>'dayImg' : '../img/tourdivide/day31/day31pic06.JPG'</t>
  </si>
  <si>
    <t>'dayImg' : '../img/tourdivide/day32/day32pic02.JPG'</t>
  </si>
  <si>
    <t>'dayImg' : '../img/tourdivide/day33/day33pic00.jpg'</t>
  </si>
  <si>
    <t>'dayImg' : '../img/tourdivide/day34/day34pic07.JPG'</t>
  </si>
  <si>
    <t>'dayImg' : '../img/tourdivide/day35/day35pic02.JPG'</t>
  </si>
  <si>
    <t>'dayImg' : '../img/tourdivide/day36/day36pic08.JPG'</t>
  </si>
  <si>
    <t>'dayid' : ' Day 1',</t>
  </si>
  <si>
    <t>'dayHref' : 'tourdivide01.html',</t>
  </si>
  <si>
    <t>'h2PostTitle' : 'Day 1 - Leaving Banff was the easy part.',</t>
  </si>
  <si>
    <t>'h3SubTitle' : 'Those hills didn't look so steep in the pictures',</t>
  </si>
  <si>
    <t>'pPostMeta' : 'Tuesday, June 9, 2015 Banff, Alberta, Canada to Bolton Trading Post',</t>
  </si>
  <si>
    <t>'h4DateStats' : '9:59AM, 6h48m, 62.4 miles, 4,814 ft of climbing',</t>
  </si>
  <si>
    <t>'dayid' : ' Day 2',</t>
  </si>
  <si>
    <t>'dayHref' : 'tourdivide02.html',</t>
  </si>
  <si>
    <t>'h2PostTitle' : 'Day 2 - Tires and Helmets',</t>
  </si>
  <si>
    <t>'h3SubTitle' : 'First Divide pass and a shaky set of tires',</t>
  </si>
  <si>
    <t>'pPostMeta' : 'Wednesday, June 10, 2015 Bolton Trading Post to Elkford, BC',</t>
  </si>
  <si>
    <t>'h4DateStats' : '7:10am, 9h48m, 52.3 miles, 2,490 ft of climbing',</t>
  </si>
  <si>
    <t>'dayid' : ' Day 3',</t>
  </si>
  <si>
    <t>'dayHref' : 'tourdivide03.html',</t>
  </si>
  <si>
    <t>'h2PostTitle' : 'Day 3 - Fixing the Bike and shedding gear',</t>
  </si>
  <si>
    <t>'h3SubTitle' : 'Another short ride and then some maintenance',</t>
  </si>
  <si>
    <t>'pPostMeta' : 'Thursday, June 11, 2015 Elkford to Sparwood',</t>
  </si>
  <si>
    <t>'h4DateStats' : '7:16am, 3h30m, 30.7 miles, 1,562 ft of climbing',</t>
  </si>
  <si>
    <t>'dayid' : ' Day 4',</t>
  </si>
  <si>
    <t>'dayHref' : 'tourdivide04.html',</t>
  </si>
  <si>
    <t>'h2PostTitle' : 'Day 04 - Stream or Trail??',</t>
  </si>
  <si>
    <t>'h3SubTitle' : 'Two passes then ...shooting guns and blowing stuff up',</t>
  </si>
  <si>
    <t>'pPostMeta' : 'Friday, June 12, 2015 Sparwood to part way up Cabin Pass',</t>
  </si>
  <si>
    <t>'h4DateStats' : '7:02am, 7h56m, 72.8 miles, 4,557 ft of climbing',</t>
  </si>
  <si>
    <t>'dayid' : ' Day 5',</t>
  </si>
  <si>
    <t>'dayHref' : 'tourdivide05.html',</t>
  </si>
  <si>
    <t>'h2PostTitle' : 'Day 5 - Cabin Pass, The Wall (WTF) and Galton Pass',</t>
  </si>
  <si>
    <t>'h3SubTitle' : 'Last day in Canada and it's a good one',</t>
  </si>
  <si>
    <t>'pPostMeta' : 'Saturday, June 13, 2015 Cabin Pass to Eureka, MT, USA',</t>
  </si>
  <si>
    <t>'h4DateStats' : '7:39am, 7h40m, 59.8 miles, 4,548 ft of climbing',</t>
  </si>
  <si>
    <t>'dayid' : ' Day 6',</t>
  </si>
  <si>
    <t>'dayHref' : 'tourdivide06.html',</t>
  </si>
  <si>
    <t>'h2PostTitle' : 'Day 6 - Whitefish Pass and Red Meadow Lake',</t>
  </si>
  <si>
    <t>'h3SubTitle' : 'Now I know why you don't use tubes',</t>
  </si>
  <si>
    <t>'pPostMeta' : 'Sunday, June 14, 2015 Eureka to Whitefish Lake, MT',</t>
  </si>
  <si>
    <t>'h4DateStats' : '5:57am, 10h3m, 94.7 miles, 5,833 ft of climbing',</t>
  </si>
  <si>
    <t>'dayid' : ' Day 7',</t>
  </si>
  <si>
    <t>'dayHref' : 'tourdivide07.html',</t>
  </si>
  <si>
    <t>'h2PostTitle' : 'Day 07 - A flat 40 miles to a nice B&amp;B',</t>
  </si>
  <si>
    <t>'h3SubTitle' : 'A partial rest, laundry and an easy 47 including an extra 4',</t>
  </si>
  <si>
    <t>'pPostMeta' : 'Monday, June 15, 2015 Whitefish to Ferndale, MT',</t>
  </si>
  <si>
    <t>'h4DateStats' : '11:38am, 3h55m, 47.3 miles, 986 ft of climbing',</t>
  </si>
  <si>
    <t>'dayid' : ' Day 8',</t>
  </si>
  <si>
    <t>'dayHref' : 'tourdivide08.html',</t>
  </si>
  <si>
    <t>'h2PostTitle' : 'Day 08 - Grizzly Country and climbs just for fun',</t>
  </si>
  <si>
    <t>'h3SubTitle' : 'Tough climbs, a nice ride until washboard - great setting at the end',</t>
  </si>
  <si>
    <t>'pPostMeta' : 'Tuesday, June 16, 2015 Ferndale to Holland Lake, MT',</t>
  </si>
  <si>
    <t>'h4DateStats' : 'left at 8:39am, 8h24m, 71.8 miles, 5,697 ft of climbing',</t>
  </si>
  <si>
    <t>'dayid' : ' Day 9',</t>
  </si>
  <si>
    <t>'dayHref' : 'tourdivide09.html',</t>
  </si>
  <si>
    <t>'h2PostTitle' : 'Day 9 - Coming around the mountain',</t>
  </si>
  <si>
    <t>'h3SubTitle' : 'Circling Richmond Peak and a huge save',</t>
  </si>
  <si>
    <t>'pPostMeta' : 'Wednesday, June 17, 2015 Holland Lake to Ovando, MT',</t>
  </si>
  <si>
    <t>'h4DateStats' : '8:45 AM, 8h49m, 60.34 miles, 5,574 ft of climbing',</t>
  </si>
  <si>
    <t>'dayid' : ' Day 10',</t>
  </si>
  <si>
    <t>'dayHref' : 'tourdivide10.html',</t>
  </si>
  <si>
    <t>'h2PostTitle' : 'Day 10 - Big climbing day',</t>
  </si>
  <si>
    <t>'h3SubTitle' : 'Walk the last pass - camp when it gets dark',</t>
  </si>
  <si>
    <t>'pPostMeta' : 'Thursday, June 18, 2015 Ovando to Priest Pass, MT',</t>
  </si>
  <si>
    <t>'h4DateStats' : '6:55 AM, 15h10m, 86.70 miles, 8,000 ft of climbing',</t>
  </si>
  <si>
    <t>'dayid' : ' Day 11',</t>
  </si>
  <si>
    <t>'dayHref' : 'tourdivide11.html',</t>
  </si>
  <si>
    <t>'h2PostTitle' : 'Day 11 - Helena and a rest day on N. Davis St',</t>
  </si>
  <si>
    <t>'h3SubTitle' : 'Trail magic, great breakfast, like new tires and a derailleur-hanger',</t>
  </si>
  <si>
    <t>'pPostMeta' : 'Friday, June 19, 2015 Priest Pass to Helena, MT',</t>
  </si>
  <si>
    <t>'h4DateStats' : '5:57am, 1h 6m, 15.9 miles, 262 ft of climbing',</t>
  </si>
  <si>
    <t>'dayid' : ' Day 12',</t>
  </si>
  <si>
    <t>'dayHref' : 'tourdivide12.html',</t>
  </si>
  <si>
    <t>'h2PostTitle' : 'Day 12 - Rocks, Roots and Missed Buses',</t>
  </si>
  <si>
    <t>'h3SubTitle' : 'Paying for wrong turns',</t>
  </si>
  <si>
    <t>'pPostMeta' : 'Saturday, June 20, 2015 Helena to Butte, MT',</t>
  </si>
  <si>
    <t>'h4DateStats' : '6:56 AM 13h 54m 80.0mi 7,970ft of climbing',</t>
  </si>
  <si>
    <t>'dayid' : ' Day 13',</t>
  </si>
  <si>
    <t>'dayHref' : 'tourdivide13.html',</t>
  </si>
  <si>
    <t>'h2PostTitle' : 'Day 13 - Rerouting to Jim's Tour Divide',</t>
  </si>
  <si>
    <t>'h3SubTitle' : 'Chocolate Milk at Great Divide Outfitters',</t>
  </si>
  <si>
    <t>'pPostMeta' : 'Sunday, June 21, 2015 Butte to Wise River',</t>
  </si>
  <si>
    <t>'h4DateStats' : '8:45 AM, 8h 57m, 50.60 miles, 2,960 ft of climbing',</t>
  </si>
  <si>
    <t>'dayid' : ' Day 14',</t>
  </si>
  <si>
    <t>'dayHref' : 'tourdivide14.html',</t>
  </si>
  <si>
    <t>'h2PostTitle' : 'Day 14 - Stretching it out and covering ground',</t>
  </si>
  <si>
    <t>'h3SubTitle' : 'What about this road by the reservoir?',</t>
  </si>
  <si>
    <t>'pPostMeta' : 'Monday, June 22, 2015 Wise River to Lima',</t>
  </si>
  <si>
    <t>'h4DateStats' : '6:23am, 11h 21m, 105 miles, 4,188 ft of climbing',</t>
  </si>
  <si>
    <t>'dayid' : ' Day 15',</t>
  </si>
  <si>
    <t>'dayHref' : 'tourdivide15.html',</t>
  </si>
  <si>
    <t>'h2PostTitle' : 'Day 15 - Wide open spaces',</t>
  </si>
  <si>
    <t>'h3SubTitle' : 'Leaving Montana (finally)',</t>
  </si>
  <si>
    <t>'pPostMeta' : 'Tuesday, June 23, 2015 Lima to Mack's Inn',</t>
  </si>
  <si>
    <t>'h4DateStats' : '7:23am, 14h 15mm, 89 miles, 2,566 ft of climbing',</t>
  </si>
  <si>
    <t>'dayid' : ' Day 16',</t>
  </si>
  <si>
    <t>'dayHref' : 'tourdivide16.html',</t>
  </si>
  <si>
    <t>'h2PostTitle' : 'Day 16 - Scenic Byway and some assistance',</t>
  </si>
  <si>
    <t>'h3SubTitle' : 'Past Mesa Falls towards the Tetons',</t>
  </si>
  <si>
    <t>'pPostMeta' : 'Wednesday, June 24, 2015 Island Park to Flagg Ranch, WY',</t>
  </si>
  <si>
    <t>'h4DateStats' : '8:14 AM 81.1mi 3,374ft',</t>
  </si>
  <si>
    <t>'dayid' : ' Day 17',</t>
  </si>
  <si>
    <t>'dayHref' : 'tourdivide17.html',</t>
  </si>
  <si>
    <t>'h2PostTitle' : 'Day 17 - Grand Teton NP in AM, Togwotee in PM',</t>
  </si>
  <si>
    <t>'h3SubTitle' : 'Lost tourists and finding hidden lakes',</t>
  </si>
  <si>
    <t>'pPostMeta' : 'Thursday, June 25, 2015 Flagg Ranch to Lava Mountain Lodge, WY',</t>
  </si>
  <si>
    <t>'h4DateStats' : '08:14 AM, 61.8mi, 4,042ft of climbing',</t>
  </si>
  <si>
    <t>'dayid' : ' Day 18',</t>
  </si>
  <si>
    <t>'dayHref' : 'tourdivide18.html',</t>
  </si>
  <si>
    <t>'h2PostTitle' : 'Day 18 - Union Pass only better',</t>
  </si>
  <si>
    <t>'h3SubTitle' : 'The Devil's Hole Trail and riding the divide',</t>
  </si>
  <si>
    <t>'pPostMeta' : 'Friday, June 26, 2015 Lava Mountain Lodge to Pinedale, WY',</t>
  </si>
  <si>
    <t>'h4DateStats' : '6:24 AM 82.6mi 4,157ft of climbing',</t>
  </si>
  <si>
    <t>'dayHref' : 'tourdivide18.html#',</t>
  </si>
  <si>
    <t>'dayid' : ' Day 19',</t>
  </si>
  <si>
    <t>'dayHref' : 'tourdivide19.html',</t>
  </si>
  <si>
    <t>'h2PostTitle' : 'Day 19 - Wyoming - after the mountains',</t>
  </si>
  <si>
    <t>'h3SubTitle' : 'A long, hot day in the desert',</t>
  </si>
  <si>
    <t>'pPostMeta' : 'Saturday, June 27, 2015 Pinedale to Atlantic City, WY',</t>
  </si>
  <si>
    <t>'h4DateStats' : '07:52 AM, 87.7mi, 3,560ft of climbing',</t>
  </si>
  <si>
    <t>'dayid' : ' Day 20',</t>
  </si>
  <si>
    <t>'dayHref' : 'tourdivide20.html',</t>
  </si>
  <si>
    <t>'h2PostTitle' : 'Day 20 - Another long day in Wyoming's Great Basin',</t>
  </si>
  <si>
    <t>'h3SubTitle' : 'Water supply and disappearing jeep trails',</t>
  </si>
  <si>
    <t>'pPostMeta' : 'Sunday, June 28, 2015 Atlantic City to Wamsutter, WY',</t>
  </si>
  <si>
    <t>'h4DateStats' : '07:15 AM, 97.9mi, 2,712ft of climbing',</t>
  </si>
  <si>
    <t>'dayHref' : 'tourdivide20.html#',</t>
  </si>
  <si>
    <t>'dayid' : ' Day 21',</t>
  </si>
  <si>
    <t>'dayHref' : 'tourdivide21.html',</t>
  </si>
  <si>
    <t>'h2PostTitle' : 'Day 21 - Brush Mountain Lodge',</t>
  </si>
  <si>
    <t>'h3SubTitle' : 'My birthday in a slice of heaven',</t>
  </si>
  <si>
    <t>'pPostMeta' : 'Monday, June 29, 2015 - Wamsutter, WY to Brush Mtn Lodge, CO',</t>
  </si>
  <si>
    <t>'h4DateStats' : '7:06 AM 81.9mi 3,928ft of climbing',</t>
  </si>
  <si>
    <t>'dayid' : ' Day 22',</t>
  </si>
  <si>
    <t>'dayHref' : 'tourdivide22.html',</t>
  </si>
  <si>
    <t>'h2PostTitle' : 'Day 22 - Colorado Mountains',</t>
  </si>
  <si>
    <t>'h3SubTitle' : 'Long steady climbs and descents',</t>
  </si>
  <si>
    <t>'pPostMeta' : 'Tuesday, June 30, 2015 Brush Mountain Lodge to Steamboat Springs, CO',</t>
  </si>
  <si>
    <t>'h4DateStats' : '07:55 AM, 50.5mi, 3,220ft of climbing',</t>
  </si>
  <si>
    <t>'dayid' : ' Day 23',</t>
  </si>
  <si>
    <t>'dayHref' : 'tourdivide23.html',</t>
  </si>
  <si>
    <t>'h2PostTitle' : 'Day 23 - A long day out on the road',</t>
  </si>
  <si>
    <t>'h3SubTitle' : 'A giant coast into Kremmling and mind games',</t>
  </si>
  <si>
    <t>'pPostMeta' : 'Wednesday, July 1, 2015 Steamboat Springs to Dillon, CO',</t>
  </si>
  <si>
    <t>'h4DateStats' : '06:55 AM, 108.7mi, 6,441ft of climbing',</t>
  </si>
  <si>
    <t>'dayid' : ' Day 24',</t>
  </si>
  <si>
    <t>'dayHref' : 'tourdivide24.html',</t>
  </si>
  <si>
    <t>'h2PostTitle' : 'Day 24 - Dillon Reservoir, Breckenridge and Boreas Pass',</t>
  </si>
  <si>
    <t>'h3SubTitle' : 'Highest pass on my tour',</t>
  </si>
  <si>
    <t>'pPostMeta' : 'Thursday, July 2, 2015 Dillon to Hartsel, CO&lt;/p',</t>
  </si>
  <si>
    <t>'h4DateStats' : '7:00 AM 68.0mi 3,507ft of climbing',</t>
  </si>
  <si>
    <t>'dayid' : ' Day 25',</t>
  </si>
  <si>
    <t>'dayHref' : 'tourdivide25.html',</t>
  </si>
  <si>
    <t>'h2PostTitle' : 'Day 25 - July weather',</t>
  </si>
  <si>
    <t>'h3SubTitle' : 'More afternoon rains and washboard roads',</t>
  </si>
  <si>
    <t>'pPostMeta' : 'Friday, July 3, 2015 Hartsel to Salida, CO',</t>
  </si>
  <si>
    <t>'h4DateStats' : '7:51 AM 48.4mi 2,300ft of climbing',</t>
  </si>
  <si>
    <t>'dayid' : ' Day 26',</t>
  </si>
  <si>
    <t>'dayHref' : 'tourdivide26.html',</t>
  </si>
  <si>
    <t>'h2PostTitle' : 'Day 26 - Marshall Pass and the Colorado Trail',</t>
  </si>
  <si>
    <t>'h3SubTitle' : 'Teepees, Rain and the 4th of July',</t>
  </si>
  <si>
    <t>'pPostMeta' : 'Saturday, July 4, 2015 Salida to Sargents, CO',</t>
  </si>
  <si>
    <t>'h4DateStats' : '07:30 AM, 46.4mi, 4,382ft of climbing',</t>
  </si>
  <si>
    <t>'dayid' : ' Day 27',</t>
  </si>
  <si>
    <t>'dayHref' : 'tourdivide27.html',</t>
  </si>
  <si>
    <t>'h2PostTitle' : 'Day 27 - Lighting and Thunder in the afternoon',</t>
  </si>
  <si>
    <t>'h3SubTitle' : 'Two passes and outrunning the rain',</t>
  </si>
  <si>
    <t>'pPostMeta' : 'Sunday, July 5, 2015 Sargents to Del Norte, CO',</t>
  </si>
  <si>
    <t>'h4DateStats' : '07:49 AM, 101.0mi, 5,182ft of climbing',</t>
  </si>
  <si>
    <t>'dayid' : ' Day 28',</t>
  </si>
  <si>
    <t>'dayHref' : 'tourdivide28.html',</t>
  </si>
  <si>
    <t>'h2PostTitle' : 'Day 28 - Getting some rest and plotting my course',</t>
  </si>
  <si>
    <t>'h3SubTitle' : 'The Library, Amish Cinnamon Rolls and Wild Boar',</t>
  </si>
  <si>
    <t>'pPostMeta' : 'Monday, July 6, 2015 Del Norte',</t>
  </si>
  <si>
    <t>'h4DateStats' : 'Sleeping in at the Windsor Hotel - zero ft of climbing',</t>
  </si>
  <si>
    <t>'dayid' : ' Day 29',</t>
  </si>
  <si>
    <t>'dayHref' : 'tourdivide29.html',</t>
  </si>
  <si>
    <t>'h2PostTitle' : 'Day 29 - A tough call to avoid thunderstorms',</t>
  </si>
  <si>
    <t>'h3SubTitle' : 'Riding in the rain',</t>
  </si>
  <si>
    <t>'pPostMeta' : 'Tuesday, July 7, 2015 DelNorte to Antonito, CO',</t>
  </si>
  <si>
    <t>'h4DateStats' : '7:03am, 67.4 miles, 1,887ft of climbing',</t>
  </si>
  <si>
    <t>'dayid' : ' Day 30',</t>
  </si>
  <si>
    <t>'dayHref' : 'tourdivide30.html',</t>
  </si>
  <si>
    <t>'h2PostTitle' : 'Day 30 - Entering the final state',</t>
  </si>
  <si>
    <t>'h3SubTitle' : 'Dum spelled backward',</t>
  </si>
  <si>
    <t>'pPostMeta' : 'Wednesday, July 8, 2015 Antonito, CO to Abiquiu, NM',</t>
  </si>
  <si>
    <t>'h4DateStats' : '06:58 AM, 87.1mi, 1,887ft',</t>
  </si>
  <si>
    <t>'dayid' : ' Day 31',</t>
  </si>
  <si>
    <t>'dayHref' : 'tourdivide31.html',</t>
  </si>
  <si>
    <t>'h2PostTitle' : 'Day 31 - Abiquiu Reservoir and more desert',</t>
  </si>
  <si>
    <t>'h3SubTitle' : 'On the Road. Avoiding the mud.',</t>
  </si>
  <si>
    <t>'pPostMeta' : 'Thursday, July 9, 2015 Abiquiu to Cuba',</t>
  </si>
  <si>
    <t>'h4DateStats' : '06:50 AM, 61.4mi, 3,804ft',</t>
  </si>
  <si>
    <t>'dayid' : ' Day 32',</t>
  </si>
  <si>
    <t>'dayHref' : 'tourdivide32.html',</t>
  </si>
  <si>
    <t>'h2PostTitle' : 'Day 32 - Long day with an assist',</t>
  </si>
  <si>
    <t>'h3SubTitle' : 'Rain, wind and desert',</t>
  </si>
  <si>
    <t>'pPostMeta' : 'Friday, July 10, 2015 Cuba to Grants, NM',</t>
  </si>
  <si>
    <t>'h4DateStats' : '05:53 AM, 121.8mi, 3,670ft',</t>
  </si>
  <si>
    <t>'dayHref' : 'tourdivide32.html#',</t>
  </si>
  <si>
    <t>'dayid' : ' Day 33',</t>
  </si>
  <si>
    <t>'dayHref' : 'tourdivide33.html',</t>
  </si>
  <si>
    <t>'h2PostTitle' : 'Day 33 - El Malpais National Monument',</t>
  </si>
  <si>
    <t>'h3SubTitle' : 'Morning riding and snakes on the bed',</t>
  </si>
  <si>
    <t>'pPostMeta' : 'Saturday, July 11, 2015 Grants to Quemado, NM',</t>
  </si>
  <si>
    <t>'h4DateStats' : '06:06 AM, 85.6mi, 2,083ft',</t>
  </si>
  <si>
    <t>'dayid' : ' Day 34',</t>
  </si>
  <si>
    <t>'dayHref' : 'tourdivide34.html',</t>
  </si>
  <si>
    <t>'h2PostTitle' : 'Day 34 - The Afternoon Wind Switch',</t>
  </si>
  <si>
    <t>'h3SubTitle' : 'Apache Creek, Reserve and an extra 30 miles',</t>
  </si>
  <si>
    <t>'pPostMeta' : 'Sunday, July 12, 2015 Quemado to Glenwood, NM',</t>
  </si>
  <si>
    <t>'h4DateStats' : '05:42 AM, 90.3mi, 3,360ft',</t>
  </si>
  <si>
    <t>'dayHref' : 'tourdivide34.html#',</t>
  </si>
  <si>
    <t>'dayid' : ' Day 35',</t>
  </si>
  <si>
    <t>'dayHref' : 'tourdivide35.html',</t>
  </si>
  <si>
    <t>'h2PostTitle' : 'Day 35 - On to Silver City',</t>
  </si>
  <si>
    <t>'h3SubTitle' : 'The last divide crossing, really',</t>
  </si>
  <si>
    <t>'pPostMeta' : 'Monday, July 13, 2015 Glenwood to Silver City, NM',</t>
  </si>
  <si>
    <t>'h4DateStats' : '6:08 AM, 63.8mi, 3,625ft',</t>
  </si>
  <si>
    <t>'dayid' : ' Day 36',</t>
  </si>
  <si>
    <t>'dayHref' : 'tourdivide36.html',</t>
  </si>
  <si>
    <t>'h2PostTitle' : 'Day 36 - No more days',</t>
  </si>
  <si>
    <t>'h3SubTitle' : 'It's all downhill from here',</t>
  </si>
  <si>
    <t>'pPostMeta' : 'Tuesday, July 14, 2015 Silver City, NM to Palomas, Mexico',</t>
  </si>
  <si>
    <t>'h4DateStats' : '6:28 AM, 6h 5m, 87.1mi, 507ft',</t>
  </si>
  <si>
    <r>
      <t xml:space="preserve">&lt;!DOCTYPE </t>
    </r>
    <r>
      <rPr>
        <b/>
        <sz val="9.8000000000000007"/>
        <color rgb="FF0000FF"/>
        <rFont val="Consolas"/>
        <family val="3"/>
      </rPr>
      <t>html</t>
    </r>
    <r>
      <rPr>
        <sz val="9.8000000000000007"/>
        <color rgb="FF000000"/>
        <rFont val="Consolas"/>
        <family val="3"/>
      </rPr>
      <t>&gt;</t>
    </r>
  </si>
  <si>
    <r>
      <t>&lt;</t>
    </r>
    <r>
      <rPr>
        <b/>
        <sz val="9.8000000000000007"/>
        <color rgb="FF000080"/>
        <rFont val="Consolas"/>
        <family val="3"/>
      </rPr>
      <t xml:space="preserve">html </t>
    </r>
    <r>
      <rPr>
        <b/>
        <sz val="9.8000000000000007"/>
        <color rgb="FF0000FF"/>
        <rFont val="Consolas"/>
        <family val="3"/>
      </rPr>
      <t>lang</t>
    </r>
    <r>
      <rPr>
        <b/>
        <sz val="9.8000000000000007"/>
        <color rgb="FF008000"/>
        <rFont val="Consolas"/>
        <family val="3"/>
      </rPr>
      <t>="en"</t>
    </r>
    <r>
      <rPr>
        <sz val="9.8000000000000007"/>
        <color rgb="FF000000"/>
        <rFont val="Consolas"/>
        <family val="3"/>
      </rPr>
      <t>&gt;</t>
    </r>
  </si>
  <si>
    <r>
      <t>&lt;</t>
    </r>
    <r>
      <rPr>
        <b/>
        <sz val="9.8000000000000007"/>
        <color rgb="FF000080"/>
        <rFont val="Consolas"/>
        <family val="3"/>
      </rPr>
      <t>head</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</si>
  <si>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charset</t>
    </r>
    <r>
      <rPr>
        <b/>
        <sz val="9.8000000000000007"/>
        <color rgb="FF008000"/>
        <rFont val="Consolas"/>
        <family val="3"/>
      </rPr>
      <t>="utf-8"</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</si>
  <si>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http-equiv</t>
    </r>
    <r>
      <rPr>
        <b/>
        <sz val="9.8000000000000007"/>
        <color rgb="FF008000"/>
        <rFont val="Consolas"/>
        <family val="3"/>
      </rPr>
      <t xml:space="preserve">="X-UA-Compatible" </t>
    </r>
    <r>
      <rPr>
        <b/>
        <sz val="9.8000000000000007"/>
        <color rgb="FF0000FF"/>
        <rFont val="Consolas"/>
        <family val="3"/>
      </rPr>
      <t>content</t>
    </r>
    <r>
      <rPr>
        <b/>
        <sz val="9.8000000000000007"/>
        <color rgb="FF008000"/>
        <rFont val="Consolas"/>
        <family val="3"/>
      </rPr>
      <t>="IE=edge"</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</si>
  <si>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="viewport" </t>
    </r>
    <r>
      <rPr>
        <b/>
        <sz val="9.8000000000000007"/>
        <color rgb="FF0000FF"/>
        <rFont val="Consolas"/>
        <family val="3"/>
      </rPr>
      <t>content</t>
    </r>
    <r>
      <rPr>
        <b/>
        <sz val="9.8000000000000007"/>
        <color rgb="FF008000"/>
        <rFont val="Consolas"/>
        <family val="3"/>
      </rPr>
      <t>="width=device-width, initial-scale=1"</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</si>
  <si>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Day01"</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</si>
  <si>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="author" </t>
    </r>
    <r>
      <rPr>
        <b/>
        <sz val="9.8000000000000007"/>
        <color rgb="FF0000FF"/>
        <rFont val="Consolas"/>
        <family val="3"/>
      </rPr>
      <t>content</t>
    </r>
    <r>
      <rPr>
        <b/>
        <sz val="9.8000000000000007"/>
        <color rgb="FF008000"/>
        <rFont val="Consolas"/>
        <family val="3"/>
      </rPr>
      <t>="Jim OBrien"</t>
    </r>
    <r>
      <rPr>
        <sz val="9.8000000000000007"/>
        <color rgb="FF000000"/>
        <rFont val="Consolas"/>
        <family val="3"/>
      </rPr>
      <t>&gt;</t>
    </r>
  </si>
  <si>
    <r>
      <t xml:space="preserve"> </t>
    </r>
    <r>
      <rPr>
        <i/>
        <sz val="9.8000000000000007"/>
        <color rgb="FF808080"/>
        <rFont val="Consolas"/>
        <family val="3"/>
      </rPr>
      <t>&lt;!-- Bootstrap Core CSS      --&gt;</t>
    </r>
  </si>
  <si>
    <r>
      <t xml:space="preserve"> </t>
    </r>
    <r>
      <rPr>
        <sz val="9.8000000000000007"/>
        <color rgb="FF000000"/>
        <rFont val="Consolas"/>
        <family val="3"/>
      </rPr>
      <t>&lt;</t>
    </r>
    <r>
      <rPr>
        <b/>
        <sz val="9.8000000000000007"/>
        <color rgb="FF000080"/>
        <rFont val="Consolas"/>
        <family val="3"/>
      </rPr>
      <t xml:space="preserve">link </t>
    </r>
    <r>
      <rPr>
        <b/>
        <sz val="9.8000000000000007"/>
        <color rgb="FF0000FF"/>
        <rFont val="Consolas"/>
        <family val="3"/>
      </rPr>
      <t>href</t>
    </r>
    <r>
      <rPr>
        <b/>
        <sz val="9.8000000000000007"/>
        <color rgb="FF008000"/>
        <rFont val="Consolas"/>
        <family val="3"/>
      </rPr>
      <t xml:space="preserve">="../css/bootstrap.min.css" </t>
    </r>
    <r>
      <rPr>
        <b/>
        <sz val="9.8000000000000007"/>
        <color rgb="FF0000FF"/>
        <rFont val="Consolas"/>
        <family val="3"/>
      </rPr>
      <t>rel</t>
    </r>
    <r>
      <rPr>
        <b/>
        <sz val="9.8000000000000007"/>
        <color rgb="FF008000"/>
        <rFont val="Consolas"/>
        <family val="3"/>
      </rPr>
      <t>="stylesheet"</t>
    </r>
    <r>
      <rPr>
        <sz val="9.8000000000000007"/>
        <color rgb="FF000000"/>
        <rFont val="Consolas"/>
        <family val="3"/>
      </rPr>
      <t>&gt;</t>
    </r>
  </si>
  <si>
    <r>
      <t xml:space="preserve"> </t>
    </r>
    <r>
      <rPr>
        <i/>
        <sz val="9.8000000000000007"/>
        <color rgb="FF808080"/>
        <rFont val="Consolas"/>
        <family val="3"/>
      </rPr>
      <t>&lt;!-- Custom CSS --&gt;</t>
    </r>
  </si>
  <si>
    <r>
      <t xml:space="preserve"> </t>
    </r>
    <r>
      <rPr>
        <sz val="9.8000000000000007"/>
        <color rgb="FF000000"/>
        <rFont val="Consolas"/>
        <family val="3"/>
      </rPr>
      <t>&lt;</t>
    </r>
    <r>
      <rPr>
        <b/>
        <sz val="9.8000000000000007"/>
        <color rgb="FF000080"/>
        <rFont val="Consolas"/>
        <family val="3"/>
      </rPr>
      <t xml:space="preserve">link </t>
    </r>
    <r>
      <rPr>
        <b/>
        <sz val="9.8000000000000007"/>
        <color rgb="FF0000FF"/>
        <rFont val="Consolas"/>
        <family val="3"/>
      </rPr>
      <t>href</t>
    </r>
    <r>
      <rPr>
        <b/>
        <sz val="9.8000000000000007"/>
        <color rgb="FF008000"/>
        <rFont val="Consolas"/>
        <family val="3"/>
      </rPr>
      <t xml:space="preserve">="../css/clean-blog.min.css" </t>
    </r>
    <r>
      <rPr>
        <b/>
        <sz val="9.8000000000000007"/>
        <color rgb="FF0000FF"/>
        <rFont val="Consolas"/>
        <family val="3"/>
      </rPr>
      <t>rel</t>
    </r>
    <r>
      <rPr>
        <b/>
        <sz val="9.8000000000000007"/>
        <color rgb="FF008000"/>
        <rFont val="Consolas"/>
        <family val="3"/>
      </rPr>
      <t>="stylesheet"</t>
    </r>
    <r>
      <rPr>
        <sz val="9.8000000000000007"/>
        <color rgb="FF000000"/>
        <rFont val="Consolas"/>
        <family val="3"/>
      </rPr>
      <t>&gt;</t>
    </r>
  </si>
  <si>
    <r>
      <t xml:space="preserve"> &lt;</t>
    </r>
    <r>
      <rPr>
        <b/>
        <sz val="9.8000000000000007"/>
        <color rgb="FF000080"/>
        <rFont val="Consolas"/>
        <family val="3"/>
      </rPr>
      <t xml:space="preserve">link </t>
    </r>
    <r>
      <rPr>
        <b/>
        <sz val="9.8000000000000007"/>
        <color rgb="FF0000FF"/>
        <rFont val="Consolas"/>
        <family val="3"/>
      </rPr>
      <t>href</t>
    </r>
    <r>
      <rPr>
        <b/>
        <sz val="9.8000000000000007"/>
        <color rgb="FF008000"/>
        <rFont val="Consolas"/>
        <family val="3"/>
      </rPr>
      <t xml:space="preserve">="../css/styles.css" </t>
    </r>
    <r>
      <rPr>
        <b/>
        <sz val="9.8000000000000007"/>
        <color rgb="FF0000FF"/>
        <rFont val="Consolas"/>
        <family val="3"/>
      </rPr>
      <t>rel</t>
    </r>
    <r>
      <rPr>
        <b/>
        <sz val="9.8000000000000007"/>
        <color rgb="FF008000"/>
        <rFont val="Consolas"/>
        <family val="3"/>
      </rPr>
      <t>="stylesheet"</t>
    </r>
    <r>
      <rPr>
        <sz val="9.8000000000000007"/>
        <color rgb="FF000000"/>
        <rFont val="Consolas"/>
        <family val="3"/>
      </rPr>
      <t>&gt;</t>
    </r>
  </si>
  <si>
    <r>
      <t xml:space="preserve"> </t>
    </r>
    <r>
      <rPr>
        <i/>
        <sz val="9.8000000000000007"/>
        <color rgb="FF808080"/>
        <rFont val="Consolas"/>
        <family val="3"/>
      </rPr>
      <t>&lt;!-- Custom Fonts --&gt;</t>
    </r>
  </si>
  <si>
    <r>
      <t xml:space="preserve"> </t>
    </r>
    <r>
      <rPr>
        <sz val="9.8000000000000007"/>
        <color rgb="FF000000"/>
        <rFont val="Consolas"/>
        <family val="3"/>
      </rPr>
      <t>&lt;</t>
    </r>
    <r>
      <rPr>
        <b/>
        <sz val="9.8000000000000007"/>
        <color rgb="FF000080"/>
        <rFont val="Consolas"/>
        <family val="3"/>
      </rPr>
      <t xml:space="preserve">link </t>
    </r>
    <r>
      <rPr>
        <b/>
        <sz val="9.8000000000000007"/>
        <color rgb="FF0000FF"/>
        <rFont val="Consolas"/>
        <family val="3"/>
      </rPr>
      <t>href</t>
    </r>
    <r>
      <rPr>
        <b/>
        <sz val="9.8000000000000007"/>
        <color rgb="FF008000"/>
        <rFont val="Consolas"/>
        <family val="3"/>
      </rPr>
      <t xml:space="preserve">="https://maxcdn.bootstrapcdn.com/font-awesome/4.1.0/css/font-awesome.min.css" </t>
    </r>
    <r>
      <rPr>
        <b/>
        <sz val="9.8000000000000007"/>
        <color rgb="FF0000FF"/>
        <rFont val="Consolas"/>
        <family val="3"/>
      </rPr>
      <t>rel</t>
    </r>
    <r>
      <rPr>
        <b/>
        <sz val="9.8000000000000007"/>
        <color rgb="FF008000"/>
        <rFont val="Consolas"/>
        <family val="3"/>
      </rPr>
      <t>="stylesheet"</t>
    </r>
  </si>
  <si>
    <r>
      <t xml:space="preserve">       </t>
    </r>
    <r>
      <rPr>
        <b/>
        <sz val="9.8000000000000007"/>
        <color rgb="FF0000FF"/>
        <rFont val="Consolas"/>
        <family val="3"/>
      </rPr>
      <t>type</t>
    </r>
    <r>
      <rPr>
        <b/>
        <sz val="9.8000000000000007"/>
        <color rgb="FF008000"/>
        <rFont val="Consolas"/>
        <family val="3"/>
      </rPr>
      <t>="text/css"</t>
    </r>
    <r>
      <rPr>
        <sz val="9.8000000000000007"/>
        <color rgb="FF000000"/>
        <rFont val="Consolas"/>
        <family val="3"/>
      </rPr>
      <t>&gt;</t>
    </r>
  </si>
  <si>
    <r>
      <t xml:space="preserve"> &lt;</t>
    </r>
    <r>
      <rPr>
        <b/>
        <sz val="9.8000000000000007"/>
        <color rgb="FF000080"/>
        <rFont val="Consolas"/>
        <family val="3"/>
      </rPr>
      <t xml:space="preserve">link </t>
    </r>
    <r>
      <rPr>
        <b/>
        <sz val="9.8000000000000007"/>
        <color rgb="FF0000FF"/>
        <rFont val="Consolas"/>
        <family val="3"/>
      </rPr>
      <t>href</t>
    </r>
    <r>
      <rPr>
        <b/>
        <sz val="9.8000000000000007"/>
        <color rgb="FF008000"/>
        <rFont val="Consolas"/>
        <family val="3"/>
      </rPr>
      <t xml:space="preserve">='https://fonts.googleapis.com/css?family=Lora:400,700,400italic,700italic' </t>
    </r>
    <r>
      <rPr>
        <b/>
        <sz val="9.8000000000000007"/>
        <color rgb="FF0000FF"/>
        <rFont val="Consolas"/>
        <family val="3"/>
      </rPr>
      <t>rel</t>
    </r>
    <r>
      <rPr>
        <b/>
        <sz val="9.8000000000000007"/>
        <color rgb="FF008000"/>
        <rFont val="Consolas"/>
        <family val="3"/>
      </rPr>
      <t>='stylesheet'</t>
    </r>
  </si>
  <si>
    <r>
      <t xml:space="preserve">       </t>
    </r>
    <r>
      <rPr>
        <b/>
        <sz val="9.8000000000000007"/>
        <color rgb="FF0000FF"/>
        <rFont val="Consolas"/>
        <family val="3"/>
      </rPr>
      <t>type</t>
    </r>
    <r>
      <rPr>
        <b/>
        <sz val="9.8000000000000007"/>
        <color rgb="FF008000"/>
        <rFont val="Consolas"/>
        <family val="3"/>
      </rPr>
      <t>='text/css'</t>
    </r>
    <r>
      <rPr>
        <sz val="9.8000000000000007"/>
        <color rgb="FF000000"/>
        <rFont val="Consolas"/>
        <family val="3"/>
      </rPr>
      <t>&gt;</t>
    </r>
  </si>
  <si>
    <r>
      <t xml:space="preserve"> &lt;</t>
    </r>
    <r>
      <rPr>
        <b/>
        <sz val="9.8000000000000007"/>
        <color rgb="FF000080"/>
        <rFont val="Consolas"/>
        <family val="3"/>
      </rPr>
      <t>link</t>
    </r>
  </si>
  <si>
    <r>
      <t xml:space="preserve">   </t>
    </r>
    <r>
      <rPr>
        <b/>
        <sz val="9.8000000000000007"/>
        <color rgb="FF0000FF"/>
        <rFont val="Consolas"/>
        <family val="3"/>
      </rPr>
      <t>href</t>
    </r>
    <r>
      <rPr>
        <b/>
        <sz val="9.8000000000000007"/>
        <color rgb="FF008000"/>
        <rFont val="Consolas"/>
        <family val="3"/>
      </rPr>
      <t>='https://fonts.googleapis.com/css?family=Open+Sans:300italic,400italic,600italic,700italic,800italic,400,300,600,700,800'</t>
    </r>
  </si>
  <si>
    <r>
      <t xml:space="preserve">   </t>
    </r>
    <r>
      <rPr>
        <b/>
        <sz val="9.8000000000000007"/>
        <color rgb="FF0000FF"/>
        <rFont val="Consolas"/>
        <family val="3"/>
      </rPr>
      <t>rel</t>
    </r>
    <r>
      <rPr>
        <b/>
        <sz val="9.8000000000000007"/>
        <color rgb="FF008000"/>
        <rFont val="Consolas"/>
        <family val="3"/>
      </rPr>
      <t xml:space="preserve">='stylesheet' </t>
    </r>
    <r>
      <rPr>
        <b/>
        <sz val="9.8000000000000007"/>
        <color rgb="FF0000FF"/>
        <rFont val="Consolas"/>
        <family val="3"/>
      </rPr>
      <t>type</t>
    </r>
    <r>
      <rPr>
        <b/>
        <sz val="9.8000000000000007"/>
        <color rgb="FF008000"/>
        <rFont val="Consolas"/>
        <family val="3"/>
      </rPr>
      <t>='text/css'</t>
    </r>
    <r>
      <rPr>
        <sz val="9.8000000000000007"/>
        <color rgb="FF000000"/>
        <rFont val="Consolas"/>
        <family val="3"/>
      </rPr>
      <t>&gt;</t>
    </r>
  </si>
  <si>
    <r>
      <t xml:space="preserve"> </t>
    </r>
    <r>
      <rPr>
        <i/>
        <sz val="9.8000000000000007"/>
        <color rgb="FF808080"/>
        <rFont val="Consolas"/>
        <family val="3"/>
      </rPr>
      <t>&lt;!-- HTML5 Shim and Respond.js IE8 support of HTML5 elements and media queries --&gt;</t>
    </r>
  </si>
  <si>
    <t xml:space="preserve"> &lt;!-- WARNING: Respond.js doesn't work if you view the page via file:// --&gt;</t>
  </si>
  <si>
    <t xml:space="preserve"> &lt;!--[if lt IE 9]&gt;</t>
  </si>
  <si>
    <t xml:space="preserve"> &lt;script src="https://oss.maxcdn.com/libs/html5shiv/3.7.0/html5shiv.js"&gt;&lt;/script&gt;</t>
  </si>
  <si>
    <t xml:space="preserve"> &lt;script src="https://oss.maxcdn.com/libs/respond.js/1.4.2/respond.min.js"&gt;&lt;/script&gt;</t>
  </si>
  <si>
    <t xml:space="preserve"> &lt;![endif]--&gt;</t>
  </si>
  <si>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Day01&lt;/</t>
    </r>
    <r>
      <rPr>
        <b/>
        <sz val="9.8000000000000007"/>
        <color rgb="FF000080"/>
        <rFont val="Consolas"/>
        <family val="3"/>
      </rPr>
      <t>title</t>
    </r>
    <r>
      <rPr>
        <sz val="9.8000000000000007"/>
        <color rgb="FF000000"/>
        <rFont val="Consolas"/>
        <family val="3"/>
      </rPr>
      <t>&gt;</t>
    </r>
  </si>
  <si>
    <r>
      <t>&lt;/</t>
    </r>
    <r>
      <rPr>
        <b/>
        <sz val="9.8000000000000007"/>
        <color rgb="FF000080"/>
        <rFont val="Consolas"/>
        <family val="3"/>
      </rPr>
      <t>head</t>
    </r>
    <r>
      <rPr>
        <sz val="9.8000000000000007"/>
        <color rgb="FF000000"/>
        <rFont val="Consolas"/>
        <family val="3"/>
      </rPr>
      <t>&gt;</t>
    </r>
  </si>
  <si>
    <r>
      <t>&lt;</t>
    </r>
    <r>
      <rPr>
        <b/>
        <sz val="9.8000000000000007"/>
        <color rgb="FF000080"/>
        <rFont val="Consolas"/>
        <family val="3"/>
      </rPr>
      <t>body</t>
    </r>
    <r>
      <rPr>
        <sz val="9.8000000000000007"/>
        <color rgb="FF000000"/>
        <rFont val="Consolas"/>
        <family val="3"/>
      </rPr>
      <t>&gt;</t>
    </r>
  </si>
  <si>
    <t>&lt;!-- Navigation --&gt;</t>
  </si>
  <si>
    <r>
      <t>&lt;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="tdnav"</t>
    </r>
    <r>
      <rPr>
        <sz val="9.8000000000000007"/>
        <color rgb="FF000000"/>
        <rFont val="Consolas"/>
        <family val="3"/>
      </rPr>
      <t>&gt;&lt;/</t>
    </r>
    <r>
      <rPr>
        <b/>
        <sz val="9.8000000000000007"/>
        <color rgb="FF000080"/>
        <rFont val="Consolas"/>
        <family val="3"/>
      </rPr>
      <t>div</t>
    </r>
    <r>
      <rPr>
        <sz val="9.8000000000000007"/>
        <color rgb="FF000000"/>
        <rFont val="Consolas"/>
        <family val="3"/>
      </rPr>
      <t>&gt;</t>
    </r>
  </si>
  <si>
    <t>&lt;!-- Page Header --&gt;</t>
  </si>
  <si>
    <t>&lt;!-- Set your background image for this header on the line below. --&gt;</t>
  </si>
  <si>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="container"</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</si>
  <si>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="row"</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</si>
  <si>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="meta"</t>
    </r>
    <r>
      <rPr>
        <sz val="9.8000000000000007"/>
        <color rgb="FF000000"/>
        <rFont val="Consolas"/>
        <family val="3"/>
      </rPr>
      <t>&gt;Posted by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&gt;Jim O'Brien&lt;/</t>
    </r>
    <r>
      <rPr>
        <b/>
        <sz val="9.8000000000000007"/>
        <color rgb="FF000080"/>
        <rFont val="Consolas"/>
        <family val="3"/>
      </rPr>
      <t>a</t>
    </r>
    <r>
      <rPr>
        <sz val="9.8000000000000007"/>
        <color rgb="FF000000"/>
        <rFont val="Consolas"/>
        <family val="3"/>
      </rPr>
      <t>&gt;  &lt;</t>
    </r>
    <r>
      <rPr>
        <b/>
        <sz val="9.8000000000000007"/>
        <color rgb="FF000080"/>
        <rFont val="Consolas"/>
        <family val="3"/>
      </rPr>
      <t>br</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</si>
  <si>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/.post-heading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</si>
  <si>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/.col-lg-8 --&gt;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</si>
  <si>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/.row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</si>
  <si>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/.container --&gt;</t>
    </r>
  </si>
  <si>
    <r>
      <t>&lt;/</t>
    </r>
    <r>
      <rPr>
        <b/>
        <sz val="9.8000000000000007"/>
        <color rgb="FF000080"/>
        <rFont val="Consolas"/>
        <family val="3"/>
      </rPr>
      <t>header</t>
    </r>
    <r>
      <rPr>
        <sz val="9.8000000000000007"/>
        <color rgb="FF000000"/>
        <rFont val="Consolas"/>
        <family val="3"/>
      </rPr>
      <t>&gt;</t>
    </r>
  </si>
  <si>
    <t>&lt;!-- Post Content --&gt;</t>
  </si>
  <si>
    <r>
      <t>&lt;</t>
    </r>
    <r>
      <rPr>
        <b/>
        <sz val="9.8000000000000007"/>
        <color rgb="FF000080"/>
        <rFont val="Consolas"/>
        <family val="3"/>
      </rPr>
      <t>article</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</si>
  <si>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="blog-post"</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</si>
  <si>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="col-sm-8 blog-main"</t>
    </r>
    <r>
      <rPr>
        <sz val="9.8000000000000007"/>
        <color rgb="FF000000"/>
        <rFont val="Consolas"/>
        <family val="3"/>
      </rPr>
      <t>&gt;</t>
    </r>
  </si>
  <si>
    <r>
      <t xml:space="preserve">      A Journey of a Thousand Miles begins with a single step&lt;</t>
    </r>
    <r>
      <rPr>
        <b/>
        <sz val="9.8000000000000007"/>
        <color rgb="FF000080"/>
        <rFont val="Consolas"/>
        <family val="3"/>
      </rPr>
      <t>br</t>
    </r>
    <r>
      <rPr>
        <sz val="9.8000000000000007"/>
        <color rgb="FF000000"/>
        <rFont val="Consolas"/>
        <family val="3"/>
      </rPr>
      <t>&gt;</t>
    </r>
  </si>
  <si>
    <r>
      <t xml:space="preserve">      A Journey of &lt;</t>
    </r>
    <r>
      <rPr>
        <b/>
        <sz val="9.8000000000000007"/>
        <color rgb="FF000080"/>
        <rFont val="Consolas"/>
        <family val="3"/>
      </rPr>
      <t>b</t>
    </r>
    <r>
      <rPr>
        <sz val="9.8000000000000007"/>
        <color rgb="FF000000"/>
        <rFont val="Consolas"/>
        <family val="3"/>
      </rPr>
      <t>&gt;Three Thousand Miles&lt;/</t>
    </r>
    <r>
      <rPr>
        <b/>
        <sz val="9.8000000000000007"/>
        <color rgb="FF000080"/>
        <rFont val="Consolas"/>
        <family val="3"/>
      </rPr>
      <t>b</t>
    </r>
    <r>
      <rPr>
        <sz val="9.8000000000000007"/>
        <color rgb="FF000000"/>
        <rFont val="Consolas"/>
        <family val="3"/>
      </rPr>
      <t>&gt; begins with a single pedal stroke</t>
    </r>
  </si>
  <si>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</si>
  <si>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="../img/tourdivide/day01/day01pic06.jpg"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</si>
  <si>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</si>
  <si>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</si>
  <si>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</si>
  <si>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</si>
  <si>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h3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&gt;The First 40 miles&lt;/</t>
    </r>
    <r>
      <rPr>
        <b/>
        <sz val="9.8000000000000007"/>
        <color rgb="FF000080"/>
        <rFont val="Consolas"/>
        <family val="3"/>
      </rPr>
      <t>h3</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</si>
  <si>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="tdsidebar"</t>
    </r>
    <r>
      <rPr>
        <sz val="9.8000000000000007"/>
        <color rgb="FF000000"/>
        <rFont val="Consolas"/>
        <family val="3"/>
      </rPr>
      <t>&gt;&lt;/</t>
    </r>
    <r>
      <rPr>
        <b/>
        <sz val="9.8000000000000007"/>
        <color rgb="FF000080"/>
        <rFont val="Consolas"/>
        <family val="3"/>
      </rPr>
      <t>div</t>
    </r>
    <r>
      <rPr>
        <sz val="9.8000000000000007"/>
        <color rgb="FF000000"/>
        <rFont val="Consolas"/>
        <family val="3"/>
      </rPr>
      <t xml:space="preserve">&gt; </t>
    </r>
    <r>
      <rPr>
        <i/>
        <sz val="9.8000000000000007"/>
        <color rgb="FF808080"/>
        <rFont val="Consolas"/>
        <family val="3"/>
      </rPr>
      <t>&lt;!-- link to td sidebar included --&gt;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</si>
  <si>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blog-main"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</si>
  <si>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</si>
  <si>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t xml:space="preserve">     Once out of town the fun (and the walking) began. Probably walked five times in the first 12 miles.</t>
  </si>
  <si>
    <t xml:space="preserve">     After two hours I had covered 12 miles.</t>
  </si>
  <si>
    <r>
      <t xml:space="preserve">     Some quick extrapolation and it appeared I was going to &lt;</t>
    </r>
    <r>
      <rPr>
        <b/>
        <sz val="9.8000000000000007"/>
        <color rgb="FF000080"/>
        <rFont val="Consolas"/>
        <family val="3"/>
      </rPr>
      <t>b</t>
    </r>
    <r>
      <rPr>
        <sz val="9.8000000000000007"/>
        <color rgb="FF000000"/>
        <rFont val="Consolas"/>
        <family val="3"/>
      </rPr>
      <t>&gt;finish 2,700 miles in October.&lt;/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</si>
  <si>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</si>
  <si>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blockquote</t>
    </r>
    <r>
      <rPr>
        <sz val="9.8000000000000007"/>
        <color rgb="FF000000"/>
        <rFont val="Consolas"/>
        <family val="3"/>
      </rPr>
      <t>&gt;Mornings are for going up&lt;/</t>
    </r>
    <r>
      <rPr>
        <b/>
        <sz val="9.8000000000000007"/>
        <color rgb="FF000080"/>
        <rFont val="Consolas"/>
        <family val="3"/>
      </rPr>
      <t>blockquote</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</si>
  <si>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</si>
  <si>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="../img/tourdivide/day01/day01elev.png"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</si>
  <si>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</si>
  <si>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The first 40 miles was a gradual climb. I would learn this was the way of the world.&lt;</t>
    </r>
    <r>
      <rPr>
        <b/>
        <sz val="9.8000000000000007"/>
        <color rgb="FF000080"/>
        <rFont val="Consolas"/>
        <family val="3"/>
      </rPr>
      <t>br</t>
    </r>
    <r>
      <rPr>
        <sz val="9.8000000000000007"/>
        <color rgb="FF000000"/>
        <rFont val="Consolas"/>
        <family val="3"/>
      </rPr>
      <t>&gt; I struggled to</t>
    </r>
  </si>
  <si>
    <t xml:space="preserve">     climb but figured I would adapt. Shoes and feet were holding up with the walking which was a</t>
  </si>
  <si>
    <t xml:space="preserve">     good thing. I was already thinking I had to cut some weight and the running shoes could go if I could walk in</t>
  </si>
  <si>
    <t xml:space="preserve">     the Sidi bike shoes.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</si>
  <si>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="../img/tourdivide/day01/day01pic03.jpg"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</si>
  <si>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&gt;In the afternoon I meet people coming north (NOBOs). I was a SOBO. Two very young guys from New Zealand who</t>
    </r>
  </si>
  <si>
    <t xml:space="preserve">     were on their 35th</t>
  </si>
  <si>
    <t xml:space="preserve">     and last day coming north and a woman who had ridden from the border (Roosville) to get to the start of the</t>
  </si>
  <si>
    <t xml:space="preserve">     race on Friday.</t>
  </si>
  <si>
    <t xml:space="preserve">     The guys on their final day had covered about the same distance as I had during the day which made me feel</t>
  </si>
  <si>
    <r>
      <t xml:space="preserve">     better.&lt;</t>
    </r>
    <r>
      <rPr>
        <b/>
        <sz val="9.8000000000000007"/>
        <color rgb="FF000080"/>
        <rFont val="Consolas"/>
        <family val="3"/>
      </rPr>
      <t>br</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</si>
  <si>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</si>
  <si>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="../img/tourdivide/day01/day01pic04.jpg"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</si>
  <si>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</si>
  <si>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br</t>
    </r>
    <r>
      <rPr>
        <sz val="9.8000000000000007"/>
        <color rgb="FF000000"/>
        <rFont val="Consolas"/>
        <family val="3"/>
      </rPr>
      <t>&gt;</t>
    </r>
  </si>
  <si>
    <t xml:space="preserve">     This was about the time I was going to start going downhill so the day got better with the last 20 miles much</t>
  </si>
  <si>
    <t xml:space="preserve">     easier</t>
  </si>
  <si>
    <t xml:space="preserve">     than the first. I rolled into Bolton Creek campground about 6pm and realized the first rule of the Tour Divide</t>
  </si>
  <si>
    <t xml:space="preserve">     (TD).</t>
  </si>
  <si>
    <t xml:space="preserve">     You always go up at the end of the day. The office was lower than the shower which was lower than the actual</t>
  </si>
  <si>
    <t xml:space="preserve">     camp spot.</t>
  </si>
  <si>
    <r>
      <t xml:space="preserve">     The camp was being harassed by a grizzly so the only person &lt;</t>
    </r>
    <r>
      <rPr>
        <b/>
        <sz val="9.8000000000000007"/>
        <color rgb="FF000080"/>
        <rFont val="Consolas"/>
        <family val="3"/>
      </rPr>
      <t>b</t>
    </r>
    <r>
      <rPr>
        <sz val="9.8000000000000007"/>
        <color rgb="FF000000"/>
        <rFont val="Consolas"/>
        <family val="3"/>
      </rPr>
      <t>&gt; not &lt;/</t>
    </r>
    <r>
      <rPr>
        <b/>
        <sz val="9.8000000000000007"/>
        <color rgb="FF000080"/>
        <rFont val="Consolas"/>
        <family val="3"/>
      </rPr>
      <t>b</t>
    </r>
    <r>
      <rPr>
        <sz val="9.8000000000000007"/>
        <color rgb="FF000000"/>
        <rFont val="Consolas"/>
        <family val="3"/>
      </rPr>
      <t>&gt; encased in a steel can would need</t>
    </r>
  </si>
  <si>
    <t xml:space="preserve">     to be careful. I guess grizzlies don’t know that $350,000 motor homes have a lot more food</t>
  </si>
  <si>
    <t xml:space="preserve">     than a biker. So after a relatively good day I was presented with my first real issues.</t>
  </si>
  <si>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One of my "notube" tires was pretty flat,</t>
    </r>
  </si>
  <si>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I was getting eaten by mosquitoes&lt;</t>
    </r>
    <r>
      <rPr>
        <b/>
        <sz val="9.8000000000000007"/>
        <color rgb="FF000080"/>
        <rFont val="Consolas"/>
        <family val="3"/>
      </rPr>
      <t>br</t>
    </r>
    <r>
      <rPr>
        <sz val="9.8000000000000007"/>
        <color rgb="FF000000"/>
        <rFont val="Consolas"/>
        <family val="3"/>
      </rPr>
      <t>&gt;</t>
    </r>
  </si>
  <si>
    <r>
      <t xml:space="preserve">     </t>
    </r>
    <r>
      <rPr>
        <b/>
        <sz val="9.8000000000000007"/>
        <color rgb="FF0000FF"/>
        <rFont val="Consolas"/>
        <family val="3"/>
      </rPr>
      <t xml:space="preserve">&amp;nbsp;&amp;nbsp;&amp;nbsp;&amp;nbsp;&amp;#8226;&amp;nbsp; </t>
    </r>
    <r>
      <rPr>
        <sz val="9.8000000000000007"/>
        <color rgb="FF000000"/>
        <rFont val="Consolas"/>
        <family val="3"/>
      </rPr>
      <t>And when I had stopped to take a shower I had left my bike helmet by the</t>
    </r>
  </si>
  <si>
    <t xml:space="preserve">     bathroom.</t>
  </si>
  <si>
    <r>
      <t xml:space="preserve">     &lt;</t>
    </r>
    <r>
      <rPr>
        <b/>
        <sz val="9.8000000000000007"/>
        <color rgb="FF000080"/>
        <rFont val="Consolas"/>
        <family val="3"/>
      </rPr>
      <t>br</t>
    </r>
    <r>
      <rPr>
        <sz val="9.8000000000000007"/>
        <color rgb="FF000000"/>
        <rFont val="Consolas"/>
        <family val="3"/>
      </rPr>
      <t>&gt;&lt;</t>
    </r>
    <r>
      <rPr>
        <b/>
        <sz val="9.8000000000000007"/>
        <color rgb="FF000080"/>
        <rFont val="Consolas"/>
        <family val="3"/>
      </rPr>
      <t>br</t>
    </r>
    <r>
      <rPr>
        <sz val="9.8000000000000007"/>
        <color rgb="FF000000"/>
        <rFont val="Consolas"/>
        <family val="3"/>
      </rPr>
      <t>&gt; I raced back to the office to get some Off spray, but when I went looking for my helmet it was gone.</t>
    </r>
  </si>
  <si>
    <t xml:space="preserve">     So now I was 100 miles from the nearest bike shop with flat tires and no helmet.</t>
  </si>
  <si>
    <r>
      <t xml:space="preserve">     &lt;</t>
    </r>
    <r>
      <rPr>
        <b/>
        <sz val="9.8000000000000007"/>
        <color rgb="FF000080"/>
        <rFont val="Consolas"/>
        <family val="3"/>
      </rPr>
      <t>br</t>
    </r>
    <r>
      <rPr>
        <sz val="9.8000000000000007"/>
        <color rgb="FF000000"/>
        <rFont val="Consolas"/>
        <family val="3"/>
      </rPr>
      <t>&gt;&lt;</t>
    </r>
    <r>
      <rPr>
        <b/>
        <sz val="9.8000000000000007"/>
        <color rgb="FF000080"/>
        <rFont val="Consolas"/>
        <family val="3"/>
      </rPr>
      <t>br</t>
    </r>
    <r>
      <rPr>
        <sz val="9.8000000000000007"/>
        <color rgb="FF000000"/>
        <rFont val="Consolas"/>
        <family val="3"/>
      </rPr>
      <t>&gt; Somewhere along the way I sent out my first end of day message to my family. &lt;</t>
    </r>
    <r>
      <rPr>
        <b/>
        <sz val="9.8000000000000007"/>
        <color rgb="FF000080"/>
        <rFont val="Consolas"/>
        <family val="3"/>
      </rPr>
      <t>b</t>
    </r>
    <r>
      <rPr>
        <sz val="9.8000000000000007"/>
        <color rgb="FF000000"/>
        <rFont val="Consolas"/>
        <family val="3"/>
      </rPr>
      <t>&gt;&gt;&lt;</t>
    </r>
    <r>
      <rPr>
        <b/>
        <sz val="9.8000000000000007"/>
        <color rgb="FF000080"/>
        <rFont val="Consolas"/>
        <family val="3"/>
      </rPr>
      <t>u</t>
    </r>
    <r>
      <rPr>
        <sz val="9.8000000000000007"/>
        <color rgb="FF000000"/>
        <rFont val="Consolas"/>
        <family val="3"/>
      </rPr>
      <t>&gt;"This is</t>
    </r>
  </si>
  <si>
    <r>
      <t xml:space="preserve">      Jim and I am at the end of another amazing day on the Tour Divide"&lt;/</t>
    </r>
    <r>
      <rPr>
        <b/>
        <sz val="9.8000000000000007"/>
        <color rgb="FF000080"/>
        <rFont val="Consolas"/>
        <family val="3"/>
      </rPr>
      <t>u</t>
    </r>
    <r>
      <rPr>
        <sz val="9.8000000000000007"/>
        <color rgb="FF000000"/>
        <rFont val="Consolas"/>
        <family val="3"/>
      </rPr>
      <t>&gt;&lt;/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</si>
  <si>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&gt;Home for my first night on the trail&lt;/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</si>
  <si>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="../img/tourdivide/day01/day01pic05.jpg"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</si>
  <si>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="caption text-muted" </t>
    </r>
    <r>
      <rPr>
        <b/>
        <sz val="9.8000000000000007"/>
        <color rgb="FF0000FF"/>
        <rFont val="Consolas"/>
        <family val="3"/>
      </rPr>
      <t>style</t>
    </r>
    <r>
      <rPr>
        <b/>
        <sz val="9.8000000000000007"/>
        <color rgb="FF008000"/>
        <rFont val="Consolas"/>
        <family val="3"/>
      </rPr>
      <t>="</t>
    </r>
    <r>
      <rPr>
        <b/>
        <sz val="9.8000000000000007"/>
        <color rgb="FF0000FF"/>
        <rFont val="Consolas"/>
        <family val="3"/>
      </rPr>
      <t>font-size</t>
    </r>
    <r>
      <rPr>
        <sz val="9.8000000000000007"/>
        <color rgb="FF000000"/>
        <rFont val="Consolas"/>
        <family val="3"/>
      </rPr>
      <t xml:space="preserve">: </t>
    </r>
    <r>
      <rPr>
        <b/>
        <sz val="9.8000000000000007"/>
        <color rgb="FF008000"/>
        <rFont val="Consolas"/>
        <family val="3"/>
      </rPr>
      <t>medium</t>
    </r>
    <r>
      <rPr>
        <sz val="9.8000000000000007"/>
        <color rgb="FF000000"/>
        <rFont val="Consolas"/>
        <family val="3"/>
      </rPr>
      <t xml:space="preserve">; </t>
    </r>
    <r>
      <rPr>
        <b/>
        <sz val="9.8000000000000007"/>
        <color rgb="FF0000FF"/>
        <rFont val="Consolas"/>
        <family val="3"/>
      </rPr>
      <t>font-weight</t>
    </r>
    <r>
      <rPr>
        <sz val="9.8000000000000007"/>
        <color rgb="FF000000"/>
        <rFont val="Consolas"/>
        <family val="3"/>
      </rPr>
      <t xml:space="preserve">: </t>
    </r>
    <r>
      <rPr>
        <b/>
        <sz val="9.8000000000000007"/>
        <color rgb="FF008000"/>
        <rFont val="Consolas"/>
        <family val="3"/>
      </rPr>
      <t>bold"</t>
    </r>
    <r>
      <rPr>
        <sz val="9.8000000000000007"/>
        <color rgb="FF000000"/>
        <rFont val="Consolas"/>
        <family val="3"/>
      </rPr>
      <t>&gt;To go places and do things that I've never done before</t>
    </r>
  </si>
  <si>
    <r>
      <t xml:space="preserve">                            – that’s what living is all about.&lt;/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</si>
  <si>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iframe </t>
    </r>
    <r>
      <rPr>
        <b/>
        <sz val="9.8000000000000007"/>
        <color rgb="FF0000FF"/>
        <rFont val="Consolas"/>
        <family val="3"/>
      </rPr>
      <t>src</t>
    </r>
    <r>
      <rPr>
        <b/>
        <sz val="9.8000000000000007"/>
        <color rgb="FF008000"/>
        <rFont val="Consolas"/>
        <family val="3"/>
      </rPr>
      <t xml:space="preserve">="https://www.google.com/maps/d/embed?mid=z16rO1nf9OsU.k-PI-urLMEWE" </t>
    </r>
    <r>
      <rPr>
        <b/>
        <sz val="9.8000000000000007"/>
        <color rgb="FF0000FF"/>
        <rFont val="Consolas"/>
        <family val="3"/>
      </rPr>
      <t>width</t>
    </r>
    <r>
      <rPr>
        <b/>
        <sz val="9.8000000000000007"/>
        <color rgb="FF008000"/>
        <rFont val="Consolas"/>
        <family val="3"/>
      </rPr>
      <t xml:space="preserve">="800" </t>
    </r>
    <r>
      <rPr>
        <b/>
        <sz val="9.8000000000000007"/>
        <color rgb="FF0000FF"/>
        <rFont val="Consolas"/>
        <family val="3"/>
      </rPr>
      <t>height</t>
    </r>
    <r>
      <rPr>
        <b/>
        <sz val="9.8000000000000007"/>
        <color rgb="FF008000"/>
        <rFont val="Consolas"/>
        <family val="3"/>
      </rPr>
      <t>="640"</t>
    </r>
    <r>
      <rPr>
        <sz val="9.8000000000000007"/>
        <color rgb="FF000000"/>
        <rFont val="Consolas"/>
        <family val="3"/>
      </rPr>
      <t>&gt;</t>
    </r>
  </si>
  <si>
    <r>
      <t xml:space="preserve">    &lt;/</t>
    </r>
    <r>
      <rPr>
        <b/>
        <sz val="9.8000000000000007"/>
        <color rgb="FF000080"/>
        <rFont val="Consolas"/>
        <family val="3"/>
      </rPr>
      <t>iframe</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</si>
  <si>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="https://www.google.com/maps/d/edit?mid=z16rO1nf9OsU.k-PI-urLMEWE&amp;usp=sharing"</t>
    </r>
    <r>
      <rPr>
        <sz val="9.8000000000000007"/>
        <color rgb="FF000000"/>
        <rFont val="Consolas"/>
        <family val="3"/>
      </rPr>
      <t>&gt;</t>
    </r>
  </si>
  <si>
    <t xml:space="preserve">     See full screen map</t>
  </si>
  <si>
    <r>
      <t xml:space="preserve">    &lt;</t>
    </r>
    <r>
      <rPr>
        <b/>
        <sz val="9.8000000000000007"/>
        <color rgb="FF000080"/>
        <rFont val="Consolas"/>
        <family val="3"/>
      </rPr>
      <t>p</t>
    </r>
    <r>
      <rPr>
        <sz val="9.8000000000000007"/>
        <color rgb="FF000000"/>
        <rFont val="Consolas"/>
        <family val="3"/>
      </rPr>
      <t>&gt;Text by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="http://www.havingadventures.com/"</t>
    </r>
    <r>
      <rPr>
        <sz val="9.8000000000000007"/>
        <color rgb="FF000000"/>
        <rFont val="Consolas"/>
        <family val="3"/>
      </rPr>
      <t>&gt;Jim O'Brien&lt;/</t>
    </r>
    <r>
      <rPr>
        <b/>
        <sz val="9.8000000000000007"/>
        <color rgb="FF000080"/>
        <rFont val="Consolas"/>
        <family val="3"/>
      </rPr>
      <t>a</t>
    </r>
    <r>
      <rPr>
        <sz val="9.8000000000000007"/>
        <color rgb="FF000000"/>
        <rFont val="Consolas"/>
        <family val="3"/>
      </rPr>
      <t>&gt;.</t>
    </r>
  </si>
  <si>
    <r>
      <t xml:space="preserve">     Photographs by Jim O'Brien, see additional photos of the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&gt;Tour Divide on</t>
    </r>
  </si>
  <si>
    <r>
      <t xml:space="preserve">      Flickr&lt;/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</si>
  <si>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/.col-sm-12 blog-main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</si>
  <si>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/.blog-post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</si>
  <si>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/.row --&gt;</t>
    </r>
  </si>
  <si>
    <r>
      <t>&lt;/</t>
    </r>
    <r>
      <rPr>
        <b/>
        <sz val="9.8000000000000007"/>
        <color rgb="FF000080"/>
        <rFont val="Consolas"/>
        <family val="3"/>
      </rPr>
      <t>article</t>
    </r>
    <r>
      <rPr>
        <sz val="9.8000000000000007"/>
        <color rgb="FF000000"/>
        <rFont val="Consolas"/>
        <family val="3"/>
      </rPr>
      <t>&gt;</t>
    </r>
  </si>
  <si>
    <r>
      <t>&lt;</t>
    </r>
    <r>
      <rPr>
        <b/>
        <sz val="9.8000000000000007"/>
        <color rgb="FF000080"/>
        <rFont val="Consolas"/>
        <family val="3"/>
      </rPr>
      <t xml:space="preserve">TABLE </t>
    </r>
    <r>
      <rPr>
        <b/>
        <sz val="9.8000000000000007"/>
        <color rgb="FF0000FF"/>
        <rFont val="Consolas"/>
        <family val="3"/>
      </rPr>
      <t>BORDER</t>
    </r>
    <r>
      <rPr>
        <b/>
        <sz val="9.8000000000000007"/>
        <color rgb="FF008000"/>
        <rFont val="Consolas"/>
        <family val="3"/>
      </rPr>
      <t xml:space="preserve">="0" </t>
    </r>
    <r>
      <rPr>
        <b/>
        <sz val="9.8000000000000007"/>
        <color rgb="FF0000FF"/>
        <rFont val="Consolas"/>
        <family val="3"/>
      </rPr>
      <t>CELLPADDING</t>
    </r>
    <r>
      <rPr>
        <b/>
        <sz val="9.8000000000000007"/>
        <color rgb="FF008000"/>
        <rFont val="Consolas"/>
        <family val="3"/>
      </rPr>
      <t xml:space="preserve">="15" </t>
    </r>
    <r>
      <rPr>
        <b/>
        <sz val="9.8000000000000007"/>
        <color rgb="FF0000FF"/>
        <rFont val="Consolas"/>
        <family val="3"/>
      </rPr>
      <t>CELLSPACING</t>
    </r>
    <r>
      <rPr>
        <b/>
        <sz val="9.8000000000000007"/>
        <color rgb="FF008000"/>
        <rFont val="Consolas"/>
        <family val="3"/>
      </rPr>
      <t xml:space="preserve">="3" </t>
    </r>
    <r>
      <rPr>
        <b/>
        <sz val="9.8000000000000007"/>
        <color rgb="FF0000FF"/>
        <rFont val="Consolas"/>
        <family val="3"/>
      </rPr>
      <t>WIDTH</t>
    </r>
    <r>
      <rPr>
        <b/>
        <sz val="9.8000000000000007"/>
        <color rgb="FF008000"/>
        <rFont val="Consolas"/>
        <family val="3"/>
      </rPr>
      <t>=50%</t>
    </r>
    <r>
      <rPr>
        <sz val="9.8000000000000007"/>
        <color rgb="FF000000"/>
        <rFont val="Consolas"/>
        <family val="3"/>
      </rPr>
      <t>&gt;</t>
    </r>
  </si>
  <si>
    <r>
      <t xml:space="preserve"> &lt;</t>
    </r>
    <r>
      <rPr>
        <b/>
        <sz val="9.8000000000000007"/>
        <color rgb="FF000080"/>
        <rFont val="Consolas"/>
        <family val="3"/>
      </rPr>
      <t>TR</t>
    </r>
    <r>
      <rPr>
        <sz val="9.8000000000000007"/>
        <color rgb="FF000000"/>
        <rFont val="Consolas"/>
        <family val="3"/>
      </rPr>
      <t>&gt;</t>
    </r>
  </si>
  <si>
    <r>
      <t xml:space="preserve">  &lt;</t>
    </r>
    <r>
      <rPr>
        <b/>
        <sz val="9.8000000000000007"/>
        <color rgb="FF000080"/>
        <rFont val="Consolas"/>
        <family val="3"/>
      </rPr>
      <t xml:space="preserve">TD </t>
    </r>
    <r>
      <rPr>
        <b/>
        <sz val="9.8000000000000007"/>
        <color rgb="FF0000FF"/>
        <rFont val="Consolas"/>
        <family val="3"/>
      </rPr>
      <t>WIDTH</t>
    </r>
    <r>
      <rPr>
        <b/>
        <sz val="9.8000000000000007"/>
        <color rgb="FF008000"/>
        <rFont val="Consolas"/>
        <family val="3"/>
      </rPr>
      <t>=20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</si>
  <si>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</si>
  <si>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TD</t>
    </r>
    <r>
      <rPr>
        <sz val="9.8000000000000007"/>
        <color rgb="FF000000"/>
        <rFont val="Consolas"/>
        <family val="3"/>
      </rPr>
      <t>&gt;</t>
    </r>
  </si>
  <si>
    <r>
      <t xml:space="preserve">  &lt;</t>
    </r>
    <r>
      <rPr>
        <b/>
        <sz val="9.8000000000000007"/>
        <color rgb="FF000080"/>
        <rFont val="Consolas"/>
        <family val="3"/>
      </rPr>
      <t xml:space="preserve">TD </t>
    </r>
    <r>
      <rPr>
        <b/>
        <sz val="9.8000000000000007"/>
        <color rgb="FF0000FF"/>
        <rFont val="Consolas"/>
        <family val="3"/>
      </rPr>
      <t>WIDTH</t>
    </r>
    <r>
      <rPr>
        <b/>
        <sz val="9.8000000000000007"/>
        <color rgb="FF008000"/>
        <rFont val="Consolas"/>
        <family val="3"/>
      </rPr>
      <t>=30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</si>
  <si>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="tourdivide02.html"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</si>
  <si>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="tourdivide36.html"</t>
    </r>
    <r>
      <rPr>
        <sz val="9.8000000000000007"/>
        <color rgb="FF000000"/>
        <rFont val="Consolas"/>
        <family val="3"/>
      </rPr>
      <t>&gt;Last&lt;/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</si>
  <si>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</si>
  <si>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TD </t>
    </r>
    <r>
      <rPr>
        <b/>
        <sz val="9.8000000000000007"/>
        <color rgb="FF0000FF"/>
        <rFont val="Consolas"/>
        <family val="3"/>
      </rPr>
      <t>ALIGN</t>
    </r>
    <r>
      <rPr>
        <b/>
        <sz val="9.8000000000000007"/>
        <color rgb="FF008000"/>
        <rFont val="Consolas"/>
        <family val="3"/>
      </rPr>
      <t xml:space="preserve">="RIGHT" </t>
    </r>
    <r>
      <rPr>
        <b/>
        <sz val="9.8000000000000007"/>
        <color rgb="FF0000FF"/>
        <rFont val="Consolas"/>
        <family val="3"/>
      </rPr>
      <t>WIDTH</t>
    </r>
    <r>
      <rPr>
        <b/>
        <sz val="9.8000000000000007"/>
        <color rgb="FF008000"/>
        <rFont val="Consolas"/>
        <family val="3"/>
      </rPr>
      <t>=50%</t>
    </r>
    <r>
      <rPr>
        <sz val="9.8000000000000007"/>
        <color rgb="FF000000"/>
        <rFont val="Consolas"/>
        <family val="3"/>
      </rPr>
      <t>&gt;</t>
    </r>
  </si>
  <si>
    <r>
      <t xml:space="preserve"> &lt;/</t>
    </r>
    <r>
      <rPr>
        <b/>
        <sz val="9.8000000000000007"/>
        <color rgb="FF000080"/>
        <rFont val="Consolas"/>
        <family val="3"/>
      </rPr>
      <t>TR</t>
    </r>
    <r>
      <rPr>
        <sz val="9.8000000000000007"/>
        <color rgb="FF000000"/>
        <rFont val="Consolas"/>
        <family val="3"/>
      </rPr>
      <t>&gt;</t>
    </r>
  </si>
  <si>
    <r>
      <t>&lt;/</t>
    </r>
    <r>
      <rPr>
        <b/>
        <sz val="9.8000000000000007"/>
        <color rgb="FF000080"/>
        <rFont val="Consolas"/>
        <family val="3"/>
      </rPr>
      <t>TABLE</t>
    </r>
    <r>
      <rPr>
        <sz val="9.8000000000000007"/>
        <color rgb="FF000000"/>
        <rFont val="Consolas"/>
        <family val="3"/>
      </rPr>
      <t>&gt;</t>
    </r>
  </si>
  <si>
    <t>&lt;!-- Footer -- loaded from separate file - footer.html --&gt;</t>
  </si>
  <si>
    <r>
      <t>&lt;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="footer"</t>
    </r>
    <r>
      <rPr>
        <sz val="9.8000000000000007"/>
        <color rgb="FF000000"/>
        <rFont val="Consolas"/>
        <family val="3"/>
      </rPr>
      <t>&gt;&lt;/</t>
    </r>
    <r>
      <rPr>
        <b/>
        <sz val="9.8000000000000007"/>
        <color rgb="FF000080"/>
        <rFont val="Consolas"/>
        <family val="3"/>
      </rPr>
      <t>div</t>
    </r>
    <r>
      <rPr>
        <sz val="9.8000000000000007"/>
        <color rgb="FF000000"/>
        <rFont val="Consolas"/>
        <family val="3"/>
      </rPr>
      <t>&gt;</t>
    </r>
  </si>
  <si>
    <t>&lt;!-- jQuery --&gt;</t>
  </si>
  <si>
    <r>
      <t>&lt;</t>
    </r>
    <r>
      <rPr>
        <b/>
        <sz val="9.8000000000000007"/>
        <color rgb="FF000080"/>
        <rFont val="Consolas"/>
        <family val="3"/>
      </rPr>
      <t xml:space="preserve">script </t>
    </r>
    <r>
      <rPr>
        <b/>
        <sz val="9.8000000000000007"/>
        <color rgb="FF0000FF"/>
        <rFont val="Consolas"/>
        <family val="3"/>
      </rPr>
      <t>src</t>
    </r>
    <r>
      <rPr>
        <b/>
        <sz val="9.8000000000000007"/>
        <color rgb="FF008000"/>
        <rFont val="Consolas"/>
        <family val="3"/>
      </rPr>
      <t>="../js/jquery.js"</t>
    </r>
    <r>
      <rPr>
        <sz val="9.8000000000000007"/>
        <color rgb="FF000000"/>
        <rFont val="Consolas"/>
        <family val="3"/>
      </rPr>
      <t>&gt;&lt;/</t>
    </r>
    <r>
      <rPr>
        <b/>
        <sz val="9.8000000000000007"/>
        <color rgb="FF000080"/>
        <rFont val="Consolas"/>
        <family val="3"/>
      </rPr>
      <t>script</t>
    </r>
    <r>
      <rPr>
        <sz val="9.8000000000000007"/>
        <color rgb="FF000000"/>
        <rFont val="Consolas"/>
        <family val="3"/>
      </rPr>
      <t>&gt;</t>
    </r>
  </si>
  <si>
    <t>&lt;!-- Bootstrap Core JavaScript --&gt;</t>
  </si>
  <si>
    <r>
      <t>&lt;</t>
    </r>
    <r>
      <rPr>
        <b/>
        <sz val="9.8000000000000007"/>
        <color rgb="FF000080"/>
        <rFont val="Consolas"/>
        <family val="3"/>
      </rPr>
      <t xml:space="preserve">script </t>
    </r>
    <r>
      <rPr>
        <b/>
        <sz val="9.8000000000000007"/>
        <color rgb="FF0000FF"/>
        <rFont val="Consolas"/>
        <family val="3"/>
      </rPr>
      <t>src</t>
    </r>
    <r>
      <rPr>
        <b/>
        <sz val="9.8000000000000007"/>
        <color rgb="FF008000"/>
        <rFont val="Consolas"/>
        <family val="3"/>
      </rPr>
      <t>="../js/bootstrap.min.js"</t>
    </r>
    <r>
      <rPr>
        <sz val="9.8000000000000007"/>
        <color rgb="FF000000"/>
        <rFont val="Consolas"/>
        <family val="3"/>
      </rPr>
      <t>&gt;&lt;/</t>
    </r>
    <r>
      <rPr>
        <b/>
        <sz val="9.8000000000000007"/>
        <color rgb="FF000080"/>
        <rFont val="Consolas"/>
        <family val="3"/>
      </rPr>
      <t>script</t>
    </r>
    <r>
      <rPr>
        <sz val="9.8000000000000007"/>
        <color rgb="FF000000"/>
        <rFont val="Consolas"/>
        <family val="3"/>
      </rPr>
      <t>&gt;</t>
    </r>
  </si>
  <si>
    <t>&lt;!-- Custom Theme JavaScript --&gt;</t>
  </si>
  <si>
    <r>
      <t>&lt;</t>
    </r>
    <r>
      <rPr>
        <b/>
        <sz val="9.8000000000000007"/>
        <color rgb="FF000080"/>
        <rFont val="Consolas"/>
        <family val="3"/>
      </rPr>
      <t xml:space="preserve">script </t>
    </r>
    <r>
      <rPr>
        <b/>
        <sz val="9.8000000000000007"/>
        <color rgb="FF0000FF"/>
        <rFont val="Consolas"/>
        <family val="3"/>
      </rPr>
      <t>src</t>
    </r>
    <r>
      <rPr>
        <b/>
        <sz val="9.8000000000000007"/>
        <color rgb="FF008000"/>
        <rFont val="Consolas"/>
        <family val="3"/>
      </rPr>
      <t>="../js/clean-blog.min.js"</t>
    </r>
    <r>
      <rPr>
        <sz val="9.8000000000000007"/>
        <color rgb="FF000000"/>
        <rFont val="Consolas"/>
        <family val="3"/>
      </rPr>
      <t>&gt;&lt;/</t>
    </r>
    <r>
      <rPr>
        <b/>
        <sz val="9.8000000000000007"/>
        <color rgb="FF000080"/>
        <rFont val="Consolas"/>
        <family val="3"/>
      </rPr>
      <t>script</t>
    </r>
    <r>
      <rPr>
        <sz val="9.8000000000000007"/>
        <color rgb="FF000000"/>
        <rFont val="Consolas"/>
        <family val="3"/>
      </rPr>
      <t>&gt;</t>
    </r>
  </si>
  <si>
    <r>
      <t>&lt;</t>
    </r>
    <r>
      <rPr>
        <b/>
        <sz val="9.8000000000000007"/>
        <color rgb="FF000080"/>
        <rFont val="Consolas"/>
        <family val="3"/>
      </rPr>
      <t>script</t>
    </r>
    <r>
      <rPr>
        <sz val="9.8000000000000007"/>
        <color rgb="FF000000"/>
        <rFont val="Consolas"/>
        <family val="3"/>
      </rPr>
      <t>&gt;</t>
    </r>
  </si>
  <si>
    <r>
      <t xml:space="preserve"> $(</t>
    </r>
    <r>
      <rPr>
        <b/>
        <sz val="9.8000000000000007"/>
        <color rgb="FF008000"/>
        <rFont val="Consolas"/>
        <family val="3"/>
      </rPr>
      <t>"#tdnav"</t>
    </r>
    <r>
      <rPr>
        <sz val="9.8000000000000007"/>
        <color rgb="FF000000"/>
        <rFont val="Consolas"/>
        <family val="3"/>
      </rPr>
      <t>).</t>
    </r>
    <r>
      <rPr>
        <sz val="9.8000000000000007"/>
        <color rgb="FF7A7A43"/>
        <rFont val="Consolas"/>
        <family val="3"/>
      </rPr>
      <t>load</t>
    </r>
    <r>
      <rPr>
        <sz val="9.8000000000000007"/>
        <color rgb="FF000000"/>
        <rFont val="Consolas"/>
        <family val="3"/>
      </rPr>
      <t>(</t>
    </r>
    <r>
      <rPr>
        <b/>
        <sz val="9.8000000000000007"/>
        <color rgb="FF008000"/>
        <rFont val="Consolas"/>
        <family val="3"/>
      </rPr>
      <t>"tdnav.html"</t>
    </r>
    <r>
      <rPr>
        <sz val="9.8000000000000007"/>
        <color rgb="FF000000"/>
        <rFont val="Consolas"/>
        <family val="3"/>
      </rPr>
      <t>);</t>
    </r>
  </si>
  <si>
    <r>
      <t xml:space="preserve"> $(</t>
    </r>
    <r>
      <rPr>
        <b/>
        <sz val="9.8000000000000007"/>
        <color rgb="FF008000"/>
        <rFont val="Consolas"/>
        <family val="3"/>
      </rPr>
      <t>"#tdsidebar"</t>
    </r>
    <r>
      <rPr>
        <sz val="9.8000000000000007"/>
        <color rgb="FF000000"/>
        <rFont val="Consolas"/>
        <family val="3"/>
      </rPr>
      <t>).</t>
    </r>
    <r>
      <rPr>
        <sz val="9.8000000000000007"/>
        <color rgb="FF7A7A43"/>
        <rFont val="Consolas"/>
        <family val="3"/>
      </rPr>
      <t>load</t>
    </r>
    <r>
      <rPr>
        <sz val="9.8000000000000007"/>
        <color rgb="FF000000"/>
        <rFont val="Consolas"/>
        <family val="3"/>
      </rPr>
      <t>(</t>
    </r>
    <r>
      <rPr>
        <b/>
        <sz val="9.8000000000000007"/>
        <color rgb="FF008000"/>
        <rFont val="Consolas"/>
        <family val="3"/>
      </rPr>
      <t>"tdsidebar.html"</t>
    </r>
    <r>
      <rPr>
        <sz val="9.8000000000000007"/>
        <color rgb="FF000000"/>
        <rFont val="Consolas"/>
        <family val="3"/>
      </rPr>
      <t>);</t>
    </r>
  </si>
  <si>
    <r>
      <t xml:space="preserve"> $(</t>
    </r>
    <r>
      <rPr>
        <b/>
        <sz val="9.8000000000000007"/>
        <color rgb="FF008000"/>
        <rFont val="Consolas"/>
        <family val="3"/>
      </rPr>
      <t>"#footer"</t>
    </r>
    <r>
      <rPr>
        <sz val="9.8000000000000007"/>
        <color rgb="FF000000"/>
        <rFont val="Consolas"/>
        <family val="3"/>
      </rPr>
      <t>).</t>
    </r>
    <r>
      <rPr>
        <sz val="9.8000000000000007"/>
        <color rgb="FF7A7A43"/>
        <rFont val="Consolas"/>
        <family val="3"/>
      </rPr>
      <t>load</t>
    </r>
    <r>
      <rPr>
        <sz val="9.8000000000000007"/>
        <color rgb="FF000000"/>
        <rFont val="Consolas"/>
        <family val="3"/>
      </rPr>
      <t>(</t>
    </r>
    <r>
      <rPr>
        <b/>
        <sz val="9.8000000000000007"/>
        <color rgb="FF008000"/>
        <rFont val="Consolas"/>
        <family val="3"/>
      </rPr>
      <t>"../footer.html"</t>
    </r>
    <r>
      <rPr>
        <sz val="9.8000000000000007"/>
        <color rgb="FF000000"/>
        <rFont val="Consolas"/>
        <family val="3"/>
      </rPr>
      <t>);</t>
    </r>
  </si>
  <si>
    <r>
      <t>&lt;/</t>
    </r>
    <r>
      <rPr>
        <b/>
        <sz val="9.8000000000000007"/>
        <color rgb="FF000080"/>
        <rFont val="Consolas"/>
        <family val="3"/>
      </rPr>
      <t>script</t>
    </r>
    <r>
      <rPr>
        <sz val="9.8000000000000007"/>
        <color rgb="FF000000"/>
        <rFont val="Consolas"/>
        <family val="3"/>
      </rPr>
      <t>&gt;</t>
    </r>
  </si>
  <si>
    <r>
      <t>&lt;/</t>
    </r>
    <r>
      <rPr>
        <b/>
        <sz val="9.8000000000000007"/>
        <color rgb="FF000080"/>
        <rFont val="Consolas"/>
        <family val="3"/>
      </rPr>
      <t>body</t>
    </r>
    <r>
      <rPr>
        <sz val="9.8000000000000007"/>
        <color rgb="FF000000"/>
        <rFont val="Consolas"/>
        <family val="3"/>
      </rPr>
      <t>&gt;</t>
    </r>
  </si>
  <si>
    <r>
      <t>&lt;/</t>
    </r>
    <r>
      <rPr>
        <b/>
        <sz val="9.8000000000000007"/>
        <color rgb="FF000080"/>
        <rFont val="Consolas"/>
        <family val="3"/>
      </rPr>
      <t>html</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</si>
  <si>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Day02&lt;/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</si>
  <si>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="meta"</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</si>
  <si>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</si>
  <si>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</si>
  <si>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</si>
  <si>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blog-post"</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</si>
  <si>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="col-sm-6"</t>
    </r>
    <r>
      <rPr>
        <sz val="9.8000000000000007"/>
        <color rgb="FF000000"/>
        <rFont val="Consolas"/>
        <family val="3"/>
      </rPr>
      <t>&gt;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</si>
  <si>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</si>
  <si>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</si>
  <si>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</si>
  <si>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</si>
  <si>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</si>
  <si>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</si>
  <si>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/.col-sm-8 blog-main --&gt;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</si>
  <si>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="tdsidebar"</t>
    </r>
    <r>
      <rPr>
        <sz val="9.8000000000000007"/>
        <color rgb="FF000000"/>
        <rFont val="Consolas"/>
        <family val="3"/>
      </rPr>
      <t>&gt;&lt;/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/.blog-sidebar --&gt;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</si>
  <si>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blog-main"</t>
    </r>
    <r>
      <rPr>
        <sz val="9.8000000000000007"/>
        <color rgb="FF000000"/>
        <rFont val="Consolas"/>
        <family val="3"/>
      </rPr>
      <t>&gt;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</si>
  <si>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</si>
  <si>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="../elev/20150610summ.png"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</si>
  <si>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="../elev/20150610elev.png"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</si>
  <si>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</si>
  <si>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&gt;Elkford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</si>
  <si>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blockquote</t>
    </r>
    <r>
      <rPr>
        <sz val="9.8000000000000007"/>
        <color rgb="FF000000"/>
        <rFont val="Consolas"/>
        <family val="3"/>
      </rPr>
      <t>&gt;&lt;</t>
    </r>
    <r>
      <rPr>
        <b/>
        <sz val="9.8000000000000007"/>
        <color rgb="FF000080"/>
        <rFont val="Consolas"/>
        <family val="3"/>
      </rPr>
      <t>b</t>
    </r>
    <r>
      <rPr>
        <sz val="9.8000000000000007"/>
        <color rgb="FF000000"/>
        <rFont val="Consolas"/>
        <family val="3"/>
      </rPr>
      <t>&gt;Mornings are for going up&lt;/</t>
    </r>
    <r>
      <rPr>
        <b/>
        <sz val="9.8000000000000007"/>
        <color rgb="FF000080"/>
        <rFont val="Consolas"/>
        <family val="3"/>
      </rPr>
      <t>b</t>
    </r>
    <r>
      <rPr>
        <sz val="9.8000000000000007"/>
        <color rgb="FF000000"/>
        <rFont val="Consolas"/>
        <family val="3"/>
      </rPr>
      <t>&gt;&lt;/</t>
    </r>
    <r>
      <rPr>
        <b/>
        <sz val="9.8000000000000007"/>
        <color rgb="FF000080"/>
        <rFont val="Consolas"/>
        <family val="3"/>
      </rPr>
      <t>blockquote</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</si>
  <si>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</si>
  <si>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</si>
  <si>
    <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font-size</t>
    </r>
    <r>
      <rPr>
        <sz val="9.8000000000000007"/>
        <color rgb="FF000000"/>
        <rFont val="Consolas"/>
        <family val="3"/>
      </rPr>
      <t xml:space="preserve">: </t>
    </r>
    <r>
      <rPr>
        <b/>
        <sz val="9.8000000000000007"/>
        <color rgb="FF008000"/>
        <rFont val="Consolas"/>
        <family val="3"/>
      </rPr>
      <t>medium</t>
    </r>
    <r>
      <rPr>
        <sz val="9.8000000000000007"/>
        <color rgb="FF000000"/>
        <rFont val="Consolas"/>
        <family val="3"/>
      </rPr>
      <t xml:space="preserve">; </t>
    </r>
    <r>
      <rPr>
        <b/>
        <sz val="9.8000000000000007"/>
        <color rgb="FF0000FF"/>
        <rFont val="Consolas"/>
        <family val="3"/>
      </rPr>
      <t>font-weight</t>
    </r>
    <r>
      <rPr>
        <sz val="9.8000000000000007"/>
        <color rgb="FF000000"/>
        <rFont val="Consolas"/>
        <family val="3"/>
      </rPr>
      <t xml:space="preserve">: </t>
    </r>
    <r>
      <rPr>
        <b/>
        <sz val="9.8000000000000007"/>
        <color rgb="FF008000"/>
        <rFont val="Consolas"/>
        <family val="3"/>
      </rPr>
      <t>bold"</t>
    </r>
    <r>
      <rPr>
        <sz val="9.8000000000000007"/>
        <color rgb="FF000000"/>
        <rFont val="Consolas"/>
        <family val="3"/>
      </rPr>
      <t>&gt;Looking up at Elkford Pass&lt;/</t>
    </r>
    <r>
      <rPr>
        <b/>
        <sz val="9.8000000000000007"/>
        <color rgb="FF000080"/>
        <rFont val="Consolas"/>
        <family val="3"/>
      </rPr>
      <t>span</t>
    </r>
    <r>
      <rPr>
        <sz val="9.8000000000000007"/>
        <color rgb="FF000000"/>
        <rFont val="Consolas"/>
        <family val="3"/>
      </rPr>
      <t>&gt;</t>
    </r>
  </si>
  <si>
    <t xml:space="preserve">      The morning started with a relatively short climb to 6,300 feet over 6 miles.</t>
  </si>
  <si>
    <t xml:space="preserve">      At Elkford Pass I crossed over into British Columbia which is where I would be for the rest of my time in</t>
  </si>
  <si>
    <t xml:space="preserve">      Canada.</t>
  </si>
  <si>
    <t xml:space="preserve">      After the climb it was mostly downhill through the rest of the day to Elkford.</t>
  </si>
  <si>
    <t xml:space="preserve">      Very hot at times. Unusual weather. Beautiful mountains on all sides all day.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</si>
  <si>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</si>
  <si>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font-size</t>
    </r>
    <r>
      <rPr>
        <sz val="9.8000000000000007"/>
        <color rgb="FF000000"/>
        <rFont val="Consolas"/>
        <family val="3"/>
      </rPr>
      <t xml:space="preserve">: </t>
    </r>
    <r>
      <rPr>
        <b/>
        <sz val="9.8000000000000007"/>
        <color rgb="FF008000"/>
        <rFont val="Consolas"/>
        <family val="3"/>
      </rPr>
      <t>medium</t>
    </r>
    <r>
      <rPr>
        <sz val="9.8000000000000007"/>
        <color rgb="FF000000"/>
        <rFont val="Consolas"/>
        <family val="3"/>
      </rPr>
      <t xml:space="preserve">; </t>
    </r>
    <r>
      <rPr>
        <b/>
        <sz val="9.8000000000000007"/>
        <color rgb="FF0000FF"/>
        <rFont val="Consolas"/>
        <family val="3"/>
      </rPr>
      <t>font-weight</t>
    </r>
    <r>
      <rPr>
        <sz val="9.8000000000000007"/>
        <color rgb="FF000000"/>
        <rFont val="Consolas"/>
        <family val="3"/>
      </rPr>
      <t xml:space="preserve">: </t>
    </r>
    <r>
      <rPr>
        <b/>
        <sz val="9.8000000000000007"/>
        <color rgb="FF008000"/>
        <rFont val="Consolas"/>
        <family val="3"/>
      </rPr>
      <t>bold"</t>
    </r>
    <r>
      <rPr>
        <sz val="9.8000000000000007"/>
        <color rgb="FF000000"/>
        <rFont val="Consolas"/>
        <family val="3"/>
      </rPr>
      <t>&gt;Looking back from where I came&lt;/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</si>
  <si>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&gt;Entered British Columbia&lt;/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</si>
  <si>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="70%"</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</si>
  <si>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&gt;Lost and Found&lt;/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</si>
  <si>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</si>
  <si>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&gt;This would cost me a couple days later.</t>
    </r>
  </si>
  <si>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</si>
  <si>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</si>
  <si>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t xml:space="preserve">        Still working on the bike setup. Dont have a perfect home for a water bottle or the map.</t>
  </si>
  <si>
    <t xml:space="preserve">        I had my first "I can't believe I did this" moment when a man and his son drove up besidie me in their</t>
  </si>
  <si>
    <t xml:space="preserve">        pickupand asked if I was missing something.</t>
  </si>
  <si>
    <t xml:space="preserve">        When I looked over the 10 year old boy was holding my dry bag filled with all my extra clothes!!! They</t>
  </si>
  <si>
    <t xml:space="preserve">        had fallen off the rack I had on the back</t>
  </si>
  <si>
    <t xml:space="preserve">        of my bike. It was about then that I decided the rack had to go. I thanked them and after rearranging my</t>
  </si>
  <si>
    <t xml:space="preserve">        straps moved on to the last part of day two.</t>
  </si>
  <si>
    <r>
      <t xml:space="preserve">     &lt;</t>
    </r>
    <r>
      <rPr>
        <b/>
        <sz val="9.8000000000000007"/>
        <color rgb="FF000080"/>
        <rFont val="Consolas"/>
        <family val="3"/>
      </rPr>
      <t>p</t>
    </r>
    <r>
      <rPr>
        <sz val="9.8000000000000007"/>
        <color rgb="FF000000"/>
        <rFont val="Consolas"/>
        <family val="3"/>
      </rPr>
      <t>&gt;A river crossing&lt;/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</si>
  <si>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 xml:space="preserve">="carousel1" </t>
    </r>
    <r>
      <rPr>
        <b/>
        <sz val="9.8000000000000007"/>
        <color rgb="FF0000FF"/>
        <rFont val="Consolas"/>
        <family val="3"/>
      </rPr>
      <t>class</t>
    </r>
    <r>
      <rPr>
        <b/>
        <sz val="9.8000000000000007"/>
        <color rgb="FF008000"/>
        <rFont val="Consolas"/>
        <family val="3"/>
      </rPr>
      <t xml:space="preserve">="carousel slide" </t>
    </r>
    <r>
      <rPr>
        <b/>
        <sz val="9.8000000000000007"/>
        <color rgb="FF0000FF"/>
        <rFont val="Consolas"/>
        <family val="3"/>
      </rPr>
      <t>data-ride</t>
    </r>
    <r>
      <rPr>
        <b/>
        <sz val="9.8000000000000007"/>
        <color rgb="FF008000"/>
        <rFont val="Consolas"/>
        <family val="3"/>
      </rPr>
      <t>="carousel"</t>
    </r>
    <r>
      <rPr>
        <sz val="9.8000000000000007"/>
        <color rgb="FF000000"/>
        <rFont val="Consolas"/>
        <family val="3"/>
      </rPr>
      <t>&gt;</t>
    </r>
  </si>
  <si>
    <r>
      <t xml:space="preserve">      &lt;</t>
    </r>
    <r>
      <rPr>
        <b/>
        <sz val="9.8000000000000007"/>
        <color rgb="FF000080"/>
        <rFont val="Consolas"/>
        <family val="3"/>
      </rPr>
      <t xml:space="preserve">ol </t>
    </r>
    <r>
      <rPr>
        <b/>
        <sz val="9.8000000000000007"/>
        <color rgb="FF0000FF"/>
        <rFont val="Consolas"/>
        <family val="3"/>
      </rPr>
      <t>class</t>
    </r>
    <r>
      <rPr>
        <b/>
        <sz val="9.8000000000000007"/>
        <color rgb="FF008000"/>
        <rFont val="Consolas"/>
        <family val="3"/>
      </rPr>
      <t>="carousel-indicators"</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</si>
  <si>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 xml:space="preserve">="0" </t>
    </r>
    <r>
      <rPr>
        <b/>
        <sz val="9.8000000000000007"/>
        <color rgb="FF0000FF"/>
        <rFont val="Consolas"/>
        <family val="3"/>
      </rPr>
      <t>class</t>
    </r>
    <r>
      <rPr>
        <b/>
        <sz val="9.8000000000000007"/>
        <color rgb="FF008000"/>
        <rFont val="Consolas"/>
        <family val="3"/>
      </rPr>
      <t>="active"</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</si>
  <si>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="1"</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</si>
  <si>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="2"</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</si>
  <si>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="3"</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</si>
  <si>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ol</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</si>
  <si>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 xml:space="preserve">="carousel-inner" </t>
    </r>
    <r>
      <rPr>
        <b/>
        <sz val="9.8000000000000007"/>
        <color rgb="FF0000FF"/>
        <rFont val="Consolas"/>
        <family val="3"/>
      </rPr>
      <t>role</t>
    </r>
    <r>
      <rPr>
        <b/>
        <sz val="9.8000000000000007"/>
        <color rgb="FF008000"/>
        <rFont val="Consolas"/>
        <family val="3"/>
      </rPr>
      <t>="listbox"</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</si>
  <si>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="../img/tourdivide/day02/day02pic08.JPG" </t>
    </r>
    <r>
      <rPr>
        <b/>
        <sz val="9.8000000000000007"/>
        <color rgb="FF0000FF"/>
        <rFont val="Consolas"/>
        <family val="3"/>
      </rPr>
      <t>alt</t>
    </r>
    <r>
      <rPr>
        <b/>
        <sz val="9.8000000000000007"/>
        <color rgb="FF008000"/>
        <rFont val="Consolas"/>
        <family val="3"/>
      </rPr>
      <t>="First slide image"</t>
    </r>
  </si>
  <si>
    <r>
      <t xml:space="preserve">                                     </t>
    </r>
    <r>
      <rPr>
        <b/>
        <sz val="9.8000000000000007"/>
        <color rgb="FF0000FF"/>
        <rFont val="Consolas"/>
        <family val="3"/>
      </rPr>
      <t>class</t>
    </r>
    <r>
      <rPr>
        <b/>
        <sz val="9.8000000000000007"/>
        <color rgb="FF008000"/>
        <rFont val="Consolas"/>
        <family val="3"/>
      </rPr>
      <t>="center-block"</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</si>
  <si>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="carousel-caption"</t>
    </r>
    <r>
      <rPr>
        <sz val="9.8000000000000007"/>
        <color rgb="FF000000"/>
        <rFont val="Consolas"/>
        <family val="3"/>
      </rPr>
      <t>&gt;</t>
    </r>
  </si>
  <si>
    <r>
      <t xml:space="preserve">         &lt;</t>
    </r>
    <r>
      <rPr>
        <b/>
        <sz val="9.8000000000000007"/>
        <color rgb="FF000080"/>
        <rFont val="Consolas"/>
        <family val="3"/>
      </rPr>
      <t>h3</t>
    </r>
    <r>
      <rPr>
        <sz val="9.8000000000000007"/>
        <color rgb="FF000000"/>
        <rFont val="Consolas"/>
        <family val="3"/>
      </rPr>
      <t>&gt;River crossing&lt;/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</si>
  <si>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&gt;1&lt;/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</si>
  <si>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</si>
  <si>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="../img/tourdivide/day02/day02pic10.JPG" </t>
    </r>
    <r>
      <rPr>
        <b/>
        <sz val="9.8000000000000007"/>
        <color rgb="FF0000FF"/>
        <rFont val="Consolas"/>
        <family val="3"/>
      </rPr>
      <t>alt</t>
    </r>
    <r>
      <rPr>
        <b/>
        <sz val="9.8000000000000007"/>
        <color rgb="FF008000"/>
        <rFont val="Consolas"/>
        <family val="3"/>
      </rPr>
      <t>="Second slide image"</t>
    </r>
  </si>
  <si>
    <r>
      <t xml:space="preserve">                              </t>
    </r>
    <r>
      <rPr>
        <b/>
        <sz val="9.8000000000000007"/>
        <color rgb="FF0000FF"/>
        <rFont val="Consolas"/>
        <family val="3"/>
      </rPr>
      <t>class</t>
    </r>
    <r>
      <rPr>
        <b/>
        <sz val="9.8000000000000007"/>
        <color rgb="FF008000"/>
        <rFont val="Consolas"/>
        <family val="3"/>
      </rPr>
      <t>="center-block"</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</si>
  <si>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&gt;2&lt;/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</si>
  <si>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="../img/tourdivide/day02/day02pic11.JPG"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</si>
  <si>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p</t>
    </r>
    <r>
      <rPr>
        <sz val="9.8000000000000007"/>
        <color rgb="FF000000"/>
        <rFont val="Consolas"/>
        <family val="3"/>
      </rPr>
      <t>&gt;3&lt;/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</si>
  <si>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="../img/tourdivide/day02/day02pic12.JPG"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</si>
  <si>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p</t>
    </r>
    <r>
      <rPr>
        <sz val="9.8000000000000007"/>
        <color rgb="FF000000"/>
        <rFont val="Consolas"/>
        <family val="3"/>
      </rPr>
      <t>&gt;4&lt;/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</si>
  <si>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="left carousel-control" </t>
    </r>
    <r>
      <rPr>
        <b/>
        <sz val="9.8000000000000007"/>
        <color rgb="FF0000FF"/>
        <rFont val="Consolas"/>
        <family val="3"/>
      </rPr>
      <t>href</t>
    </r>
    <r>
      <rPr>
        <b/>
        <sz val="9.8000000000000007"/>
        <color rgb="FF008000"/>
        <rFont val="Consolas"/>
        <family val="3"/>
      </rPr>
      <t xml:space="preserve">="#carousel1"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="prev"</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</si>
  <si>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="glyphicon glyphicon-chevron-left" </t>
    </r>
    <r>
      <rPr>
        <b/>
        <sz val="9.8000000000000007"/>
        <color rgb="FF0000FF"/>
        <rFont val="Consolas"/>
        <family val="3"/>
      </rPr>
      <t>aria-hidden</t>
    </r>
    <r>
      <rPr>
        <b/>
        <sz val="9.8000000000000007"/>
        <color rgb="FF008000"/>
        <rFont val="Consolas"/>
        <family val="3"/>
      </rPr>
      <t>="true"</t>
    </r>
    <r>
      <rPr>
        <sz val="9.8000000000000007"/>
        <color rgb="FF000000"/>
        <rFont val="Consolas"/>
        <family val="3"/>
      </rPr>
      <t>&gt;&lt;/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</si>
  <si>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="sr-only"</t>
    </r>
    <r>
      <rPr>
        <sz val="9.8000000000000007"/>
        <color rgb="FF000000"/>
        <rFont val="Consolas"/>
        <family val="3"/>
      </rPr>
      <t>&gt;Previous&lt;/</t>
    </r>
    <r>
      <rPr>
        <b/>
        <sz val="9.8000000000000007"/>
        <color rgb="FF000080"/>
        <rFont val="Consolas"/>
        <family val="3"/>
      </rPr>
      <t>span</t>
    </r>
    <r>
      <rPr>
        <sz val="9.8000000000000007"/>
        <color rgb="FF000000"/>
        <rFont val="Consolas"/>
        <family val="3"/>
      </rPr>
      <t>&gt;&lt;/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</si>
  <si>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="right carousel-control" </t>
    </r>
    <r>
      <rPr>
        <b/>
        <sz val="9.8000000000000007"/>
        <color rgb="FF0000FF"/>
        <rFont val="Consolas"/>
        <family val="3"/>
      </rPr>
      <t>href</t>
    </r>
    <r>
      <rPr>
        <b/>
        <sz val="9.8000000000000007"/>
        <color rgb="FF008000"/>
        <rFont val="Consolas"/>
        <family val="3"/>
      </rPr>
      <t xml:space="preserve">="#carousel1"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="next"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</si>
  <si>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="glyphicon glyphicon-chevron-right" </t>
    </r>
    <r>
      <rPr>
        <b/>
        <sz val="9.8000000000000007"/>
        <color rgb="FF0000FF"/>
        <rFont val="Consolas"/>
        <family val="3"/>
      </rPr>
      <t>aria-hidden</t>
    </r>
    <r>
      <rPr>
        <b/>
        <sz val="9.8000000000000007"/>
        <color rgb="FF008000"/>
        <rFont val="Consolas"/>
        <family val="3"/>
      </rPr>
      <t>="true"</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</si>
  <si>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="sr-only"</t>
    </r>
    <r>
      <rPr>
        <sz val="9.8000000000000007"/>
        <color rgb="FF000000"/>
        <rFont val="Consolas"/>
        <family val="3"/>
      </rPr>
      <t>&gt;Next&lt;/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</si>
  <si>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a</t>
    </r>
    <r>
      <rPr>
        <sz val="9.8000000000000007"/>
        <color rgb="FF000000"/>
        <rFont val="Consolas"/>
        <family val="3"/>
      </rPr>
      <t>&gt;</t>
    </r>
  </si>
  <si>
    <t xml:space="preserve">      Into the great wide open spaces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</si>
  <si>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</si>
  <si>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 little relief for my tires&lt;/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</si>
  <si>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&gt;On my way into Elkford I rode along with two locals who were my first “Trail Magic”. By this point after</t>
    </r>
  </si>
  <si>
    <t xml:space="preserve">      only 50 miles both my tires</t>
  </si>
  <si>
    <t xml:space="preserve">      were running low. One of the guys gave me a tube and the other helped fill my front tire. As he did the tire</t>
  </si>
  <si>
    <t xml:space="preserve">      popped and the Notube</t>
  </si>
  <si>
    <r>
      <t xml:space="preserve">      tire finally seated. &lt;</t>
    </r>
    <r>
      <rPr>
        <b/>
        <sz val="9.8000000000000007"/>
        <color rgb="FF000080"/>
        <rFont val="Consolas"/>
        <family val="3"/>
      </rPr>
      <t>br</t>
    </r>
    <r>
      <rPr>
        <sz val="9.8000000000000007"/>
        <color rgb="FF000000"/>
        <rFont val="Consolas"/>
        <family val="3"/>
      </rPr>
      <t>&gt;So now I had an extra tube and a tire that might hold until Sparwood. Up until this</t>
    </r>
  </si>
  <si>
    <t xml:space="preserve">      point I thought I might</t>
  </si>
  <si>
    <t xml:space="preserve">      need to get a car to the bike shop in Fernie (65 miles) or ride the highway instead of the trail. But now I</t>
  </si>
  <si>
    <t xml:space="preserve">      can take the TD route up through the mountains</t>
  </si>
  <si>
    <t xml:space="preserve">      to make the 40 miles to Sparwood and then get a car to the bike shop. That night I stayed at the Hi Rock Inn</t>
  </si>
  <si>
    <t xml:space="preserve">      and walked over to the supermarket and pizza place.</t>
  </si>
  <si>
    <t xml:space="preserve">      The evening temperature was in the 80s and though the Inn owner had found me a fan but it was still a hot</t>
  </si>
  <si>
    <t xml:space="preserve">      night.</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</si>
  <si>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&gt;"No bikes in the rooms!!! &lt;</t>
    </r>
    <r>
      <rPr>
        <b/>
        <sz val="9.8000000000000007"/>
        <color rgb="FF000080"/>
        <rFont val="Consolas"/>
        <family val="3"/>
      </rPr>
      <t>br</t>
    </r>
    <r>
      <rPr>
        <sz val="9.8000000000000007"/>
        <color rgb="FF000000"/>
        <rFont val="Consolas"/>
        <family val="3"/>
      </rPr>
      <t>&gt;Why does everyone assume there is no Wifi?"&lt;/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</si>
  <si>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&gt;The innkeep was a little touchy&lt;/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</si>
  <si>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</si>
  <si>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="../img/tourdivide/day02/day02pic14.JPG"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</si>
  <si>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font-size</t>
    </r>
    <r>
      <rPr>
        <sz val="9.8000000000000007"/>
        <color rgb="FF000000"/>
        <rFont val="Consolas"/>
        <family val="3"/>
      </rPr>
      <t xml:space="preserve">: </t>
    </r>
    <r>
      <rPr>
        <b/>
        <sz val="9.8000000000000007"/>
        <color rgb="FF008000"/>
        <rFont val="Consolas"/>
        <family val="3"/>
      </rPr>
      <t>medium</t>
    </r>
    <r>
      <rPr>
        <sz val="9.8000000000000007"/>
        <color rgb="FF000000"/>
        <rFont val="Consolas"/>
        <family val="3"/>
      </rPr>
      <t xml:space="preserve">; </t>
    </r>
    <r>
      <rPr>
        <b/>
        <sz val="9.8000000000000007"/>
        <color rgb="FF0000FF"/>
        <rFont val="Consolas"/>
        <family val="3"/>
      </rPr>
      <t>font-weight</t>
    </r>
    <r>
      <rPr>
        <sz val="9.8000000000000007"/>
        <color rgb="FF000000"/>
        <rFont val="Consolas"/>
        <family val="3"/>
      </rPr>
      <t xml:space="preserve">: </t>
    </r>
    <r>
      <rPr>
        <b/>
        <sz val="9.8000000000000007"/>
        <color rgb="FF008000"/>
        <rFont val="Consolas"/>
        <family val="3"/>
      </rPr>
      <t>bold"</t>
    </r>
    <r>
      <rPr>
        <sz val="9.8000000000000007"/>
        <color rgb="FF000000"/>
        <rFont val="Consolas"/>
        <family val="3"/>
      </rPr>
      <t>&gt;End of day two.  Slow going.&lt;/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</si>
  <si>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="caption text-muted" </t>
    </r>
    <r>
      <rPr>
        <b/>
        <sz val="9.8000000000000007"/>
        <color rgb="FF0000FF"/>
        <rFont val="Consolas"/>
        <family val="3"/>
      </rPr>
      <t>style</t>
    </r>
    <r>
      <rPr>
        <b/>
        <sz val="9.8000000000000007"/>
        <color rgb="FF008000"/>
        <rFont val="Consolas"/>
        <family val="3"/>
      </rPr>
      <t>="</t>
    </r>
    <r>
      <rPr>
        <b/>
        <sz val="9.8000000000000007"/>
        <color rgb="FF0000FF"/>
        <rFont val="Consolas"/>
        <family val="3"/>
      </rPr>
      <t>font-size</t>
    </r>
    <r>
      <rPr>
        <sz val="9.8000000000000007"/>
        <color rgb="FF000000"/>
        <rFont val="Consolas"/>
        <family val="3"/>
      </rPr>
      <t xml:space="preserve">: </t>
    </r>
    <r>
      <rPr>
        <b/>
        <sz val="9.8000000000000007"/>
        <color rgb="FF008000"/>
        <rFont val="Consolas"/>
        <family val="3"/>
      </rPr>
      <t>medium</t>
    </r>
    <r>
      <rPr>
        <sz val="9.8000000000000007"/>
        <color rgb="FF000000"/>
        <rFont val="Consolas"/>
        <family val="3"/>
      </rPr>
      <t xml:space="preserve">; </t>
    </r>
    <r>
      <rPr>
        <b/>
        <sz val="9.8000000000000007"/>
        <color rgb="FF0000FF"/>
        <rFont val="Consolas"/>
        <family val="3"/>
      </rPr>
      <t>font-weight</t>
    </r>
    <r>
      <rPr>
        <sz val="9.8000000000000007"/>
        <color rgb="FF000000"/>
        <rFont val="Consolas"/>
        <family val="3"/>
      </rPr>
      <t xml:space="preserve">: </t>
    </r>
    <r>
      <rPr>
        <b/>
        <sz val="9.8000000000000007"/>
        <color rgb="FF008000"/>
        <rFont val="Consolas"/>
        <family val="3"/>
      </rPr>
      <t>bold"</t>
    </r>
    <r>
      <rPr>
        <sz val="9.8000000000000007"/>
        <color rgb="FF000000"/>
        <rFont val="Consolas"/>
        <family val="3"/>
      </rPr>
      <t>&gt;To go places and do things that I've never done before</t>
    </r>
  </si>
  <si>
    <r>
      <t xml:space="preserve">     &lt;</t>
    </r>
    <r>
      <rPr>
        <b/>
        <sz val="9.8000000000000007"/>
        <color rgb="FF000080"/>
        <rFont val="Consolas"/>
        <family val="3"/>
      </rPr>
      <t xml:space="preserve">iframe </t>
    </r>
    <r>
      <rPr>
        <b/>
        <sz val="9.8000000000000007"/>
        <color rgb="FF0000FF"/>
        <rFont val="Consolas"/>
        <family val="3"/>
      </rPr>
      <t>src</t>
    </r>
    <r>
      <rPr>
        <b/>
        <sz val="9.8000000000000007"/>
        <color rgb="FF008000"/>
        <rFont val="Consolas"/>
        <family val="3"/>
      </rPr>
      <t xml:space="preserve">="https://www.google.com/maps/d/embed?mid=z16rO1nf9OsU.k-PI-urLMEWE" </t>
    </r>
    <r>
      <rPr>
        <b/>
        <sz val="9.8000000000000007"/>
        <color rgb="FF0000FF"/>
        <rFont val="Consolas"/>
        <family val="3"/>
      </rPr>
      <t>width</t>
    </r>
    <r>
      <rPr>
        <b/>
        <sz val="9.8000000000000007"/>
        <color rgb="FF008000"/>
        <rFont val="Consolas"/>
        <family val="3"/>
      </rPr>
      <t xml:space="preserve">="800" </t>
    </r>
    <r>
      <rPr>
        <b/>
        <sz val="9.8000000000000007"/>
        <color rgb="FF0000FF"/>
        <rFont val="Consolas"/>
        <family val="3"/>
      </rPr>
      <t>height</t>
    </r>
    <r>
      <rPr>
        <b/>
        <sz val="9.8000000000000007"/>
        <color rgb="FF008000"/>
        <rFont val="Consolas"/>
        <family val="3"/>
      </rPr>
      <t>="640"</t>
    </r>
    <r>
      <rPr>
        <sz val="9.8000000000000007"/>
        <color rgb="FF000000"/>
        <rFont val="Consolas"/>
        <family val="3"/>
      </rPr>
      <t>&gt;</t>
    </r>
  </si>
  <si>
    <r>
      <t xml:space="preserve">     &lt;/</t>
    </r>
    <r>
      <rPr>
        <b/>
        <sz val="9.8000000000000007"/>
        <color rgb="FF000080"/>
        <rFont val="Consolas"/>
        <family val="3"/>
      </rPr>
      <t>iframe</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</si>
  <si>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="https://www.google.com/maps/d/edit?mid=z16rO1nf9OsU.k-PI-urLMEWE&amp;usp=sharing"</t>
    </r>
    <r>
      <rPr>
        <sz val="9.8000000000000007"/>
        <color rgb="FF000000"/>
        <rFont val="Consolas"/>
        <family val="3"/>
      </rPr>
      <t>&gt;</t>
    </r>
  </si>
  <si>
    <t xml:space="preserve">      See full screen map</t>
  </si>
  <si>
    <r>
      <t xml:space="preserve">     &lt;</t>
    </r>
    <r>
      <rPr>
        <b/>
        <sz val="9.8000000000000007"/>
        <color rgb="FF000080"/>
        <rFont val="Consolas"/>
        <family val="3"/>
      </rPr>
      <t>p</t>
    </r>
    <r>
      <rPr>
        <sz val="9.8000000000000007"/>
        <color rgb="FF000000"/>
        <rFont val="Consolas"/>
        <family val="3"/>
      </rPr>
      <t>&gt;Text by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="http://www.havingadventures.com/"</t>
    </r>
    <r>
      <rPr>
        <sz val="9.8000000000000007"/>
        <color rgb="FF000000"/>
        <rFont val="Consolas"/>
        <family val="3"/>
      </rPr>
      <t>&gt;Jim O'Brien&lt;/</t>
    </r>
    <r>
      <rPr>
        <b/>
        <sz val="9.8000000000000007"/>
        <color rgb="FF000080"/>
        <rFont val="Consolas"/>
        <family val="3"/>
      </rPr>
      <t>a</t>
    </r>
    <r>
      <rPr>
        <sz val="9.8000000000000007"/>
        <color rgb="FF000000"/>
        <rFont val="Consolas"/>
        <family val="3"/>
      </rPr>
      <t>&gt;.</t>
    </r>
  </si>
  <si>
    <r>
      <t xml:space="preserve">      Photographs by Jim O'Brien, see additional photos of the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&gt;Tour Divide</t>
    </r>
  </si>
  <si>
    <r>
      <t xml:space="preserve">       on Flickr&lt;/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</si>
  <si>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/.col-sm-12 blog-main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</si>
  <si>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/.blog-post --&gt;</t>
    </r>
  </si>
  <si>
    <r>
      <t>&lt;</t>
    </r>
    <r>
      <rPr>
        <b/>
        <sz val="9.8000000000000007"/>
        <color rgb="FF000080"/>
        <rFont val="Consolas"/>
        <family val="3"/>
      </rPr>
      <t>HR</t>
    </r>
    <r>
      <rPr>
        <sz val="9.8000000000000007"/>
        <color rgb="FF000000"/>
        <rFont val="Consolas"/>
        <family val="3"/>
      </rPr>
      <t>&gt;</t>
    </r>
  </si>
  <si>
    <r>
      <t>&lt;</t>
    </r>
    <r>
      <rPr>
        <b/>
        <sz val="9.8000000000000007"/>
        <color rgb="FF000080"/>
        <rFont val="Consolas"/>
        <family val="3"/>
      </rPr>
      <t xml:space="preserve">TABLE </t>
    </r>
    <r>
      <rPr>
        <b/>
        <sz val="9.8000000000000007"/>
        <color rgb="FF0000FF"/>
        <rFont val="Consolas"/>
        <family val="3"/>
      </rPr>
      <t>BORDER</t>
    </r>
    <r>
      <rPr>
        <b/>
        <sz val="9.8000000000000007"/>
        <color rgb="FF008000"/>
        <rFont val="Consolas"/>
        <family val="3"/>
      </rPr>
      <t xml:space="preserve">="0" </t>
    </r>
    <r>
      <rPr>
        <b/>
        <sz val="9.8000000000000007"/>
        <color rgb="FF0000FF"/>
        <rFont val="Consolas"/>
        <family val="3"/>
      </rPr>
      <t>CELLPADDING</t>
    </r>
    <r>
      <rPr>
        <b/>
        <sz val="9.8000000000000007"/>
        <color rgb="FF008000"/>
        <rFont val="Consolas"/>
        <family val="3"/>
      </rPr>
      <t xml:space="preserve">="5" </t>
    </r>
    <r>
      <rPr>
        <b/>
        <sz val="9.8000000000000007"/>
        <color rgb="FF0000FF"/>
        <rFont val="Consolas"/>
        <family val="3"/>
      </rPr>
      <t>CELLSPACING</t>
    </r>
    <r>
      <rPr>
        <b/>
        <sz val="9.8000000000000007"/>
        <color rgb="FF008000"/>
        <rFont val="Consolas"/>
        <family val="3"/>
      </rPr>
      <t xml:space="preserve">="3" </t>
    </r>
    <r>
      <rPr>
        <b/>
        <sz val="9.8000000000000007"/>
        <color rgb="FF0000FF"/>
        <rFont val="Consolas"/>
        <family val="3"/>
      </rPr>
      <t>WIDTH</t>
    </r>
    <r>
      <rPr>
        <b/>
        <sz val="9.8000000000000007"/>
        <color rgb="FF008000"/>
        <rFont val="Consolas"/>
        <family val="3"/>
      </rPr>
      <t>=90%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</si>
  <si>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="tourdivide01.html"</t>
    </r>
    <r>
      <rPr>
        <sz val="9.8000000000000007"/>
        <color rgb="FF000000"/>
        <rFont val="Consolas"/>
        <family val="3"/>
      </rPr>
      <t>&gt;First&lt;/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</si>
  <si>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="tourdivide03.html"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</si>
  <si>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2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</si>
  <si>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Day03"</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</si>
  <si>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Day03&lt;/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</si>
  <si>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/.col-lg-8 --&gt;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</si>
  <si>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</si>
  <si>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&gt;Elkford and up into the forest&lt;/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</si>
  <si>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</si>
  <si>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</si>
  <si>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="../elev/20150611summ.png"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</si>
  <si>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="tdsidebar"</t>
    </r>
    <r>
      <rPr>
        <sz val="9.8000000000000007"/>
        <color rgb="FF000000"/>
        <rFont val="Consolas"/>
        <family val="3"/>
      </rPr>
      <t>&gt;&lt;/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</si>
  <si>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blog-main"</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</si>
  <si>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="../elev/20150611elev.png"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</si>
  <si>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It didn't take long until I started walking. The steepest section of the day was in the</t>
    </r>
  </si>
  <si>
    <t xml:space="preserve">      first 2.5 miles. I then turned onto a forest service road which led to a single track path</t>
  </si>
  <si>
    <t xml:space="preserve">      which was unridable at the begining but flatter as it went on.</t>
  </si>
  <si>
    <t xml:space="preserve">      I traveled past the lake in the picture at the top of the page and then thru</t>
  </si>
  <si>
    <t xml:space="preserve">      sections of clear cut and forest.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</si>
  <si>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</si>
  <si>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&gt;The sections of clean cut usually resulted in a road torn up by the trucks taking the logs out.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</si>
  <si>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&gt;Flathead River&lt;/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</si>
  <si>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</si>
  <si>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This section was not difficult and I was in Sparwood before noon. I can see how people finished their first</t>
  </si>
  <si>
    <t xml:space="preserve">      day in Sparwood or were able to quickly move on. Unfortunately I needed to</t>
  </si>
  <si>
    <t xml:space="preserve">      get to the bike shop in Fernie, BC. My bike was not prepared to do the three mountain passes between</t>
  </si>
  <si>
    <t xml:space="preserve">      Sparwood and the US border.</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</si>
  <si>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&gt;Fernie, BC Bike shop and bagels. &lt;/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</si>
  <si>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="col-sm-6"</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</si>
  <si>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="../img/tourdivide/day03/day03pic04.JPG"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</si>
  <si>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</si>
  <si>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="http://shop.straightlinefernie.com/"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&gt;straightlinefernie.com</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</si>
  <si>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</si>
  <si>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="../img/tourdivide/day03/day03pic05.JPG"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</si>
  <si>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="http://www.bigbangbagels.com"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&gt;Big Bang Bagels&gt;</t>
    </r>
  </si>
  <si>
    <r>
      <t xml:space="preserve">      &lt;/</t>
    </r>
    <r>
      <rPr>
        <b/>
        <sz val="9.8000000000000007"/>
        <color rgb="FF000080"/>
        <rFont val="Consolas"/>
        <family val="3"/>
      </rPr>
      <t>a</t>
    </r>
    <r>
      <rPr>
        <sz val="9.8000000000000007"/>
        <color rgb="FF000000"/>
        <rFont val="Consolas"/>
        <family val="3"/>
      </rPr>
      <t>&gt;&lt;</t>
    </r>
    <r>
      <rPr>
        <b/>
        <sz val="9.8000000000000007"/>
        <color rgb="FF000080"/>
        <rFont val="Consolas"/>
        <family val="3"/>
      </rPr>
      <t>br</t>
    </r>
    <r>
      <rPr>
        <sz val="9.8000000000000007"/>
        <color rgb="FF000000"/>
        <rFont val="Consolas"/>
        <family val="3"/>
      </rPr>
      <t>&gt;</t>
    </r>
  </si>
  <si>
    <t xml:space="preserve">      Cool little town with a ski resort just outside so lots of bike trails. Great service at Straight Line and</t>
  </si>
  <si>
    <t xml:space="preserve">      while I waited I inhaled a couple bagels at the store across the street and also picked up a snack for</t>
  </si>
  <si>
    <t xml:space="preserve">      tomorrow.</t>
  </si>
  <si>
    <r>
      <t xml:space="preserve">      I am now equiped with a new helmet and tubes in my tires among other improvements. &lt;</t>
    </r>
    <r>
      <rPr>
        <b/>
        <sz val="9.8000000000000007"/>
        <color rgb="FF000080"/>
        <rFont val="Consolas"/>
        <family val="3"/>
      </rPr>
      <t>br</t>
    </r>
    <r>
      <rPr>
        <sz val="9.8000000000000007"/>
        <color rgb="FF000000"/>
        <rFont val="Consolas"/>
        <family val="3"/>
      </rPr>
      <t>&gt; The guy in the bike</t>
    </r>
  </si>
  <si>
    <r>
      <t xml:space="preserve">      shop did highlight the need for a &lt;</t>
    </r>
    <r>
      <rPr>
        <b/>
        <sz val="9.8000000000000007"/>
        <color rgb="FF000080"/>
        <rFont val="Consolas"/>
        <family val="3"/>
      </rPr>
      <t>b</t>
    </r>
    <r>
      <rPr>
        <sz val="9.8000000000000007"/>
        <color rgb="FF000000"/>
        <rFont val="Consolas"/>
        <family val="3"/>
      </rPr>
      <t>&gt; rear derailleur hanger&lt;/</t>
    </r>
    <r>
      <rPr>
        <b/>
        <sz val="9.8000000000000007"/>
        <color rgb="FF000080"/>
        <rFont val="Consolas"/>
        <family val="3"/>
      </rPr>
      <t>b</t>
    </r>
    <r>
      <rPr>
        <sz val="9.8000000000000007"/>
        <color rgb="FF000000"/>
        <rFont val="Consolas"/>
        <family val="3"/>
      </rPr>
      <t>&gt;. This would present some challenges over</t>
    </r>
  </si>
  <si>
    <t xml:space="preserve">      the</t>
  </si>
  <si>
    <t xml:space="preserve">      next few days. It had been on George's list but hadn't made it into my spare parts bag.</t>
  </si>
  <si>
    <r>
      <t xml:space="preserve">     &lt;</t>
    </r>
    <r>
      <rPr>
        <b/>
        <sz val="9.8000000000000007"/>
        <color rgb="FF000080"/>
        <rFont val="Consolas"/>
        <family val="3"/>
      </rPr>
      <t>p</t>
    </r>
    <r>
      <rPr>
        <sz val="9.8000000000000007"/>
        <color rgb="FF000000"/>
        <rFont val="Consolas"/>
        <family val="3"/>
      </rPr>
      <t>&gt; I had packed up my things the night before so that I could mail about 10 lbs of equipment back home.</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</si>
  <si>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="../img/tourdivide/day03/day03pic06.JPG"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</si>
  <si>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Found a hotel in Sparwood and found a bigger town than expected. They were getting ready for their Miner's</t>
  </si>
  <si>
    <t xml:space="preserve">      Days.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</si>
  <si>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="../img/tourdivide/day03/day03pic08.jpg"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</si>
  <si>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&gt;Causeway Bay Hotel, Sparwood, BC</t>
    </r>
  </si>
  <si>
    <r>
      <t xml:space="preserve">     &lt;</t>
    </r>
    <r>
      <rPr>
        <b/>
        <sz val="9.8000000000000007"/>
        <color rgb="FF000080"/>
        <rFont val="Consolas"/>
        <family val="3"/>
      </rPr>
      <t>p</t>
    </r>
    <r>
      <rPr>
        <sz val="9.8000000000000007"/>
        <color rgb="FF000000"/>
        <rFont val="Consolas"/>
        <family val="3"/>
      </rPr>
      <t>&gt; Across the street from the "World's largest truck"</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</si>
  <si>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="../img/tourdivide/day03/day03pic07.JPG"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</si>
  <si>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&gt;GM Terex 33-19 "Titan"   22 ft high - 548 tons</t>
    </r>
  </si>
  <si>
    <r>
      <t xml:space="preserve">                            &lt;/</t>
    </r>
    <r>
      <rPr>
        <b/>
        <sz val="9.8000000000000007"/>
        <color rgb="FF000080"/>
        <rFont val="Consolas"/>
        <family val="3"/>
      </rPr>
      <t>span</t>
    </r>
    <r>
      <rPr>
        <sz val="9.8000000000000007"/>
        <color rgb="FF000000"/>
        <rFont val="Consolas"/>
        <family val="3"/>
      </rPr>
      <t>&gt;</t>
    </r>
  </si>
  <si>
    <t xml:space="preserve">                            – that’s what living is all about.</t>
  </si>
  <si>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</si>
  <si>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/.blog-post --&gt;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</si>
  <si>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</si>
  <si>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="tourdivide02.html"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</si>
  <si>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="tourdivide04.html"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</si>
  <si>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3 of 36)&lt;/</t>
    </r>
    <r>
      <rPr>
        <b/>
        <sz val="9.8000000000000007"/>
        <color rgb="FF000080"/>
        <rFont val="Consolas"/>
        <family val="3"/>
      </rPr>
      <t>NOBR</t>
    </r>
    <r>
      <rPr>
        <sz val="9.8000000000000007"/>
        <color rgb="FF000000"/>
        <rFont val="Consolas"/>
        <family val="3"/>
      </rPr>
      <t>&gt;</t>
    </r>
  </si>
  <si>
    <r>
      <t>&lt;</t>
    </r>
    <r>
      <rPr>
        <b/>
        <sz val="9.8000000000000007"/>
        <color rgb="FF000080"/>
        <rFont val="Consolas"/>
        <family val="3"/>
      </rPr>
      <t xml:space="preserve">script </t>
    </r>
    <r>
      <rPr>
        <b/>
        <sz val="9.8000000000000007"/>
        <color rgb="FF0000FF"/>
        <rFont val="Consolas"/>
        <family val="3"/>
      </rPr>
      <t>src</t>
    </r>
    <r>
      <rPr>
        <b/>
        <sz val="9.8000000000000007"/>
        <color rgb="FF008000"/>
        <rFont val="Consolas"/>
        <family val="3"/>
      </rPr>
      <t>="../js/jquery.min.js"</t>
    </r>
    <r>
      <rPr>
        <sz val="9.8000000000000007"/>
        <color rgb="FF000000"/>
        <rFont val="Consolas"/>
        <family val="3"/>
      </rPr>
      <t>&gt;&lt;/</t>
    </r>
    <r>
      <rPr>
        <b/>
        <sz val="9.8000000000000007"/>
        <color rgb="FF000080"/>
        <rFont val="Consolas"/>
        <family val="3"/>
      </rPr>
      <t>script</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</si>
  <si>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Day05"</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</si>
  <si>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Day05&lt;/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</si>
  <si>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 sunny morning on top of Cabin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</si>
  <si>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</si>
  <si>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&gt;Mt Doupe from the trail to Cabin Pass&lt;/</t>
    </r>
    <r>
      <rPr>
        <b/>
        <sz val="9.8000000000000007"/>
        <color rgb="FF000080"/>
        <rFont val="Consolas"/>
        <family val="3"/>
      </rPr>
      <t>span</t>
    </r>
    <r>
      <rPr>
        <sz val="9.8000000000000007"/>
        <color rgb="FF000000"/>
        <rFont val="Consolas"/>
        <family val="3"/>
      </rPr>
      <t>&gt;</t>
    </r>
  </si>
  <si>
    <t xml:space="preserve">      The final two miles to the top took a while but the downhill from Cabin Pass was nice and easy. Stopped for</t>
  </si>
  <si>
    <t xml:space="preserve">      a snack with</t>
  </si>
  <si>
    <t xml:space="preserve">      another rider and then continued on my way along the river toward Galton Pass.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</si>
  <si>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="../elev/20150613summ.png"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</si>
  <si>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="../elev/20150613elev.png"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</si>
  <si>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&gt;The Wall&lt;/</t>
    </r>
    <r>
      <rPr>
        <b/>
        <sz val="9.8000000000000007"/>
        <color rgb="FF000080"/>
        <rFont val="Consolas"/>
        <family val="3"/>
      </rPr>
      <t>h2</t>
    </r>
    <r>
      <rPr>
        <sz val="9.8000000000000007"/>
        <color rgb="FF000000"/>
        <rFont val="Consolas"/>
        <family val="3"/>
      </rPr>
      <t>&gt;</t>
    </r>
  </si>
  <si>
    <t xml:space="preserve">      The next challenge between the bottom of Cabin Pass and the beginning of Galton Pass was to get up the WALL.</t>
  </si>
  <si>
    <t xml:space="preserve">      This is a section added a few years ago which is unridable. Pictures and descriptions don't begin to</t>
  </si>
  <si>
    <r>
      <t xml:space="preserve">      explain ...&lt;</t>
    </r>
    <r>
      <rPr>
        <b/>
        <sz val="9.8000000000000007"/>
        <color rgb="FF000080"/>
        <rFont val="Consolas"/>
        <family val="3"/>
      </rPr>
      <t>br</t>
    </r>
    <r>
      <rPr>
        <sz val="9.8000000000000007"/>
        <color rgb="FF000000"/>
        <rFont val="Consolas"/>
        <family val="3"/>
      </rPr>
      <t>&gt;I knew it was out there and after traveling along a single track area along the river I once</t>
    </r>
  </si>
  <si>
    <t xml:space="preserve">      again</t>
  </si>
  <si>
    <t xml:space="preserve">      thought I had lost the trail. It didn't take long to determine the vertical section in front of me was the</t>
  </si>
  <si>
    <t xml:space="preserve">      WALL.</t>
  </si>
  <si>
    <t xml:space="preserve">      There weren't even any tire tracks!</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</si>
  <si>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="http://theradavist.com/2015/06/three-days-on-the-tour-divide-with-the-salsa-cutthroat/#1"</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</si>
  <si>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="../img/tourdivide/day05/day05pic09-124-1335x890.jpg" </t>
    </r>
    <r>
      <rPr>
        <b/>
        <sz val="9.8000000000000007"/>
        <color rgb="FF0000FF"/>
        <rFont val="Consolas"/>
        <family val="3"/>
      </rPr>
      <t>alt</t>
    </r>
    <r>
      <rPr>
        <b/>
        <sz val="9.8000000000000007"/>
        <color rgb="FF008000"/>
        <rFont val="Consolas"/>
        <family val="3"/>
      </rPr>
      <t>=""</t>
    </r>
  </si>
  <si>
    <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</si>
  <si>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&gt;Photo from theradavist.com&lt;/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</si>
  <si>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&gt;After mulling this over for a bit I decided that if everyone else could do it I could do it. I hoisted the</t>
    </r>
  </si>
  <si>
    <t xml:space="preserve">      bike up the trail while trying to take a couple steps up onto a root and a rock. I finally got up about 20</t>
  </si>
  <si>
    <t xml:space="preserve">      feet above the valley floor and was trying to take a break without falling back down.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</si>
  <si>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="../img/tourdivide/day05/day05pic10-127-1335x890.jpg" </t>
    </r>
    <r>
      <rPr>
        <b/>
        <sz val="9.8000000000000007"/>
        <color rgb="FF0000FF"/>
        <rFont val="Consolas"/>
        <family val="3"/>
      </rPr>
      <t>alt</t>
    </r>
    <r>
      <rPr>
        <b/>
        <sz val="9.8000000000000007"/>
        <color rgb="FF008000"/>
        <rFont val="Consolas"/>
        <family val="3"/>
      </rPr>
      <t>=""</t>
    </r>
  </si>
  <si>
    <r>
      <t xml:space="preserve">     &lt;</t>
    </r>
    <r>
      <rPr>
        <b/>
        <sz val="9.8000000000000007"/>
        <color rgb="FF000080"/>
        <rFont val="Consolas"/>
        <family val="3"/>
      </rPr>
      <t>p</t>
    </r>
    <r>
      <rPr>
        <sz val="9.8000000000000007"/>
        <color rgb="FF000000"/>
        <rFont val="Consolas"/>
        <family val="3"/>
      </rPr>
      <t>&gt;I then heard someone say “If you’re stuck, I’m stuck”. I looked down and there was a rider waiting for me</t>
    </r>
  </si>
  <si>
    <t xml:space="preserve">      to</t>
  </si>
  <si>
    <t xml:space="preserve">      get up the wall. This was incentive enough for me to carry the bike and take about 20 steps up to a spot</t>
  </si>
  <si>
    <t xml:space="preserve">      that was a bit flatter. Luckily I didn’t hold him up very long. He was probably in 12th place at the time!!!</t>
  </si>
  <si>
    <t xml:space="preserve">      I meet a rider at Holland LAke who had designed a special strap just for the wall so he could strap his bike</t>
  </si>
  <si>
    <t xml:space="preserve">      to his back.</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</si>
  <si>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="../img/tourdivide/day05/day05pic11-128-1335x890.jpg" </t>
    </r>
    <r>
      <rPr>
        <b/>
        <sz val="9.8000000000000007"/>
        <color rgb="FF0000FF"/>
        <rFont val="Consolas"/>
        <family val="3"/>
      </rPr>
      <t>alt</t>
    </r>
    <r>
      <rPr>
        <b/>
        <sz val="9.8000000000000007"/>
        <color rgb="FF008000"/>
        <rFont val="Consolas"/>
        <family val="3"/>
      </rPr>
      <t>=""</t>
    </r>
  </si>
  <si>
    <r>
      <t xml:space="preserve">     &lt;</t>
    </r>
    <r>
      <rPr>
        <b/>
        <sz val="9.8000000000000007"/>
        <color rgb="FF000080"/>
        <rFont val="Consolas"/>
        <family val="3"/>
      </rPr>
      <t>p</t>
    </r>
    <r>
      <rPr>
        <sz val="9.8000000000000007"/>
        <color rgb="FF000000"/>
        <rFont val="Consolas"/>
        <family val="3"/>
      </rPr>
      <t>&gt; I had a second rider come by me on the second section of the WALL but he had an easier time getting by.</t>
    </r>
  </si>
  <si>
    <t xml:space="preserve">      Next up was the third mountain pass on this section from Sparwood to the US border. Galton Pass.</t>
  </si>
  <si>
    <t xml:space="preserve">      The previous pass (Cabin) had a 10 mile approach. Galton was steep for the last 5 or so which I walked.</t>
  </si>
  <si>
    <t xml:space="preserve">      A number of switchbacks at least reduced the grade.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</si>
  <si>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="../img/tourdivide/day05/day05pic05a.jpg"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</si>
  <si>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&gt;After the wall I still wasn't riding&lt;/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</si>
  <si>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&gt;Galton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</si>
  <si>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="50%"</t>
    </r>
    <r>
      <rPr>
        <sz val="9.8000000000000007"/>
        <color rgb="FF000000"/>
        <rFont val="Consolas"/>
        <family val="3"/>
      </rPr>
      <t>&gt;</t>
    </r>
  </si>
  <si>
    <t xml:space="preserve">      Switchback on road to Galton Pass. Switchbacks reduce the grade but also can beat you down since you can't</t>
  </si>
  <si>
    <t xml:space="preserve">      really tell how many there are. This was 3 miles from the top. I took off my helmet and laid my backpack</t>
  </si>
  <si>
    <t xml:space="preserve">      across</t>
  </si>
  <si>
    <r>
      <t xml:space="preserve">      the handlebars and walked on up. &lt;</t>
    </r>
    <r>
      <rPr>
        <b/>
        <sz val="9.8000000000000007"/>
        <color rgb="FF000080"/>
        <rFont val="Consolas"/>
        <family val="3"/>
      </rPr>
      <t>b</t>
    </r>
    <r>
      <rPr>
        <sz val="9.8000000000000007"/>
        <color rgb="FF000000"/>
        <rFont val="Consolas"/>
        <family val="3"/>
      </rPr>
      <t>&gt;It took about an hour.&lt;/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</si>
  <si>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</si>
  <si>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The nine miles from the valley to Galton Pass took 3 1/2 hours. The steepest section took an hour to cover</t>
  </si>
  <si>
    <t xml:space="preserve">      2.4 miles.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</si>
  <si>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</si>
  <si>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Once again the top wasn’t significant other than I could begin riding and it was a real nice downhill.</t>
  </si>
  <si>
    <r>
      <t xml:space="preserve">      The eight miles down from pass to valley took 40 minutes.&lt;</t>
    </r>
    <r>
      <rPr>
        <b/>
        <sz val="9.8000000000000007"/>
        <color rgb="FF000080"/>
        <rFont val="Consolas"/>
        <family val="3"/>
      </rPr>
      <t>br</t>
    </r>
    <r>
      <rPr>
        <sz val="9.8000000000000007"/>
        <color rgb="FF000000"/>
        <rFont val="Consolas"/>
        <family val="3"/>
      </rPr>
      <t>&gt;</t>
    </r>
  </si>
  <si>
    <t xml:space="preserve">      At the end you could see out into the valley below and the road leading to the US border crossing. The rest</t>
  </si>
  <si>
    <t xml:space="preserve">      of the</t>
  </si>
  <si>
    <t xml:space="preserve">      trip to the border was flat and easy. I had a few minute wait and then in true Tour Divide fashion it was</t>
  </si>
  <si>
    <t xml:space="preserve">      off the main road to a side road.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</si>
  <si>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</si>
  <si>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&gt;Roosville - US Border&lt;/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</si>
  <si>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</si>
  <si>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Across the border you got the sense the terrain was going to be different. Much more "Big Sky" than sharp</t>
  </si>
  <si>
    <t xml:space="preserve">      mountains.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</si>
  <si>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</si>
  <si>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view from airport road south of Roosville&lt;/</t>
    </r>
    <r>
      <rPr>
        <b/>
        <sz val="9.8000000000000007"/>
        <color rgb="FF000080"/>
        <rFont val="Consolas"/>
        <family val="3"/>
      </rPr>
      <t>span</t>
    </r>
    <r>
      <rPr>
        <sz val="9.8000000000000007"/>
        <color rgb="FF000000"/>
        <rFont val="Consolas"/>
        <family val="3"/>
      </rPr>
      <t>&gt;</t>
    </r>
  </si>
  <si>
    <t xml:space="preserve">      Somewhere at the border my tracker stopped working for the second time. It was another 8 miles to Eureka</t>
  </si>
  <si>
    <t xml:space="preserve">      and a hotel and Subway combination. Before I knew it I had eaten two whole subway sandwiches and about</t>
  </si>
  <si>
    <t xml:space="preserve">      3 bottles of chocolate milk. Lots of riders in town and at the hotel. My tires have held up for the past</t>
  </si>
  <si>
    <t xml:space="preserve">      few days so I was feeling much better about the ride.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</si>
  <si>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="../img/tourdivide/day05/day05pic09.jpg"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="50%"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</si>
  <si>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&gt;Nice to be back in the USA&lt;/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</si>
  <si>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&gt;CDMBR - 5 days in Canada - many lessons learned&lt;/</t>
    </r>
    <r>
      <rPr>
        <b/>
        <sz val="9.8000000000000007"/>
        <color rgb="FF000080"/>
        <rFont val="Consolas"/>
        <family val="3"/>
      </rPr>
      <t>h2</t>
    </r>
    <r>
      <rPr>
        <sz val="9.8000000000000007"/>
        <color rgb="FF000000"/>
        <rFont val="Consolas"/>
        <family val="3"/>
      </rPr>
      <t>&gt;</t>
    </r>
  </si>
  <si>
    <t xml:space="preserve">      So I had completed the ~250 miles along the trail in Canada. It took at least an extra day but I learned</t>
  </si>
  <si>
    <r>
      <t xml:space="preserve">      many things during the first week which would help as I moved forward.&lt;</t>
    </r>
    <r>
      <rPr>
        <b/>
        <sz val="9.8000000000000007"/>
        <color rgb="FF000080"/>
        <rFont val="Consolas"/>
        <family val="3"/>
      </rPr>
      <t>br</t>
    </r>
    <r>
      <rPr>
        <sz val="9.8000000000000007"/>
        <color rgb="FF000000"/>
        <rFont val="Consolas"/>
        <family val="3"/>
      </rPr>
      <t>&gt;</t>
    </r>
  </si>
  <si>
    <t xml:space="preserve">      I had</t>
  </si>
  <si>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my notube tires fail me competely. I was now carrying five tubes</t>
    </r>
  </si>
  <si>
    <t xml:space="preserve">      - 2 in the tires and three spares.</t>
  </si>
  <si>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lost a helmet and gotten a new one.</t>
    </r>
  </si>
  <si>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Slept on the top of a mountain pass in the rain and below</t>
    </r>
  </si>
  <si>
    <t xml:space="preserve">      freezing temps.</t>
  </si>
  <si>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Determined that as a biker I'm a pretty good hiker.</t>
    </r>
  </si>
  <si>
    <r>
      <t xml:space="preserve">      &lt;</t>
    </r>
    <r>
      <rPr>
        <b/>
        <sz val="9.8000000000000007"/>
        <color rgb="FF000080"/>
        <rFont val="Consolas"/>
        <family val="3"/>
      </rPr>
      <t>br</t>
    </r>
    <r>
      <rPr>
        <sz val="9.8000000000000007"/>
        <color rgb="FF000000"/>
        <rFont val="Consolas"/>
        <family val="3"/>
      </rPr>
      <t xml:space="preserve">&gt; </t>
    </r>
    <r>
      <rPr>
        <b/>
        <sz val="9.8000000000000007"/>
        <color rgb="FF0000FF"/>
        <rFont val="Consolas"/>
        <family val="3"/>
      </rPr>
      <t xml:space="preserve">&amp;nbsp;&amp;nbsp;&amp;nbsp;&amp;nbsp;&amp;#8226;&amp;nbsp; </t>
    </r>
    <r>
      <rPr>
        <sz val="9.8000000000000007"/>
        <color rgb="FF000000"/>
        <rFont val="Consolas"/>
        <family val="3"/>
      </rPr>
      <t>Shipped 10 lbs of stuff back to New Jersey and knew that I was</t>
    </r>
  </si>
  <si>
    <t xml:space="preserve">      still</t>
  </si>
  <si>
    <t xml:space="preserve">      carrying to much "stuff"</t>
  </si>
  <si>
    <r>
      <t xml:space="preserve">     &lt;</t>
    </r>
    <r>
      <rPr>
        <b/>
        <sz val="9.8000000000000007"/>
        <color rgb="FF000080"/>
        <rFont val="Consolas"/>
        <family val="3"/>
      </rPr>
      <t>p</t>
    </r>
    <r>
      <rPr>
        <sz val="9.8000000000000007"/>
        <color rgb="FF000000"/>
        <rFont val="Consolas"/>
        <family val="3"/>
      </rPr>
      <t>&gt;Text by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="http://www.havingadventures.com/"</t>
    </r>
    <r>
      <rPr>
        <sz val="9.8000000000000007"/>
        <color rgb="FF000000"/>
        <rFont val="Consolas"/>
        <family val="3"/>
      </rPr>
      <t>&gt;Jim O'Brien&lt;/</t>
    </r>
    <r>
      <rPr>
        <b/>
        <sz val="9.8000000000000007"/>
        <color rgb="FF000080"/>
        <rFont val="Consolas"/>
        <family val="3"/>
      </rPr>
      <t>a</t>
    </r>
    <r>
      <rPr>
        <sz val="9.8000000000000007"/>
        <color rgb="FF000000"/>
        <rFont val="Consolas"/>
        <family val="3"/>
      </rPr>
      <t>&gt;</t>
    </r>
  </si>
  <si>
    <r>
      <t xml:space="preserve">      Photographs by Jim O'Brien unless otherwise noted&lt;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&gt;TD on Flickr&lt;/</t>
    </r>
    <r>
      <rPr>
        <b/>
        <sz val="9.8000000000000007"/>
        <color rgb="FF000080"/>
        <rFont val="Consolas"/>
        <family val="3"/>
      </rPr>
      <t>a</t>
    </r>
    <r>
      <rPr>
        <sz val="9.8000000000000007"/>
        <color rgb="FF000000"/>
        <rFont val="Consolas"/>
        <family val="3"/>
      </rPr>
      <t>&gt;.</t>
    </r>
  </si>
  <si>
    <r>
      <t>&lt;</t>
    </r>
    <r>
      <rPr>
        <b/>
        <sz val="9.8000000000000007"/>
        <color rgb="FF000080"/>
        <rFont val="Consolas"/>
        <family val="3"/>
      </rPr>
      <t xml:space="preserve">TABLE </t>
    </r>
    <r>
      <rPr>
        <b/>
        <sz val="9.8000000000000007"/>
        <color rgb="FF0000FF"/>
        <rFont val="Consolas"/>
        <family val="3"/>
      </rPr>
      <t>BORDER</t>
    </r>
    <r>
      <rPr>
        <b/>
        <sz val="9.8000000000000007"/>
        <color rgb="FF008000"/>
        <rFont val="Consolas"/>
        <family val="3"/>
      </rPr>
      <t xml:space="preserve">="0" </t>
    </r>
    <r>
      <rPr>
        <b/>
        <sz val="9.8000000000000007"/>
        <color rgb="FF0000FF"/>
        <rFont val="Consolas"/>
        <family val="3"/>
      </rPr>
      <t>CELLPADDING</t>
    </r>
    <r>
      <rPr>
        <b/>
        <sz val="9.8000000000000007"/>
        <color rgb="FF008000"/>
        <rFont val="Consolas"/>
        <family val="3"/>
      </rPr>
      <t xml:space="preserve">="5" </t>
    </r>
    <r>
      <rPr>
        <b/>
        <sz val="9.8000000000000007"/>
        <color rgb="FF0000FF"/>
        <rFont val="Consolas"/>
        <family val="3"/>
      </rPr>
      <t>CELLSPACING</t>
    </r>
    <r>
      <rPr>
        <b/>
        <sz val="9.8000000000000007"/>
        <color rgb="FF008000"/>
        <rFont val="Consolas"/>
        <family val="3"/>
      </rPr>
      <t xml:space="preserve">="3"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</si>
  <si>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="tourdivide04.html"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</si>
  <si>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="tourdivide06.html"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</si>
  <si>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5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</si>
  <si>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Day04"</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</si>
  <si>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Day04&lt;/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</si>
  <si>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&gt;Sparwood to Cabin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</si>
  <si>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</si>
  <si>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="../elev/20150612summ.png"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</si>
  <si>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</si>
  <si>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&gt;Road to Corbin mostly along side a railroad track.</t>
    </r>
  </si>
  <si>
    <r>
      <t xml:space="preserve">     &lt;</t>
    </r>
    <r>
      <rPr>
        <b/>
        <sz val="9.8000000000000007"/>
        <color rgb="FF000080"/>
        <rFont val="Consolas"/>
        <family val="3"/>
      </rPr>
      <t>p</t>
    </r>
    <r>
      <rPr>
        <sz val="9.8000000000000007"/>
        <color rgb="FF000000"/>
        <rFont val="Consolas"/>
        <family val="3"/>
      </rPr>
      <t>&gt; A mostly flat road but I was delayed crossing Michel Creek trying to figuring out where you turn onto</t>
    </r>
  </si>
  <si>
    <t xml:space="preserve">      Corbin Rd.</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</si>
  <si>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</si>
  <si>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</si>
  <si>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Corbin is an old vacant town right next to a coal mine.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</si>
  <si>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</si>
  <si>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&gt;Corbin ghost town in East Kootenay Country.</t>
    </r>
  </si>
  <si>
    <r>
      <t xml:space="preserve">     &lt;</t>
    </r>
    <r>
      <rPr>
        <b/>
        <sz val="9.8000000000000007"/>
        <color rgb="FF000080"/>
        <rFont val="Consolas"/>
        <family val="3"/>
      </rPr>
      <t>p</t>
    </r>
    <r>
      <rPr>
        <sz val="9.8000000000000007"/>
        <color rgb="FF000000"/>
        <rFont val="Consolas"/>
        <family val="3"/>
      </rPr>
      <t>&gt; Went thru the old town and into a mining operation and then turned to go up to Flathead pass.</t>
    </r>
  </si>
  <si>
    <r>
      <t xml:space="preserve">     &lt;</t>
    </r>
    <r>
      <rPr>
        <b/>
        <sz val="9.8000000000000007"/>
        <color rgb="FF000080"/>
        <rFont val="Consolas"/>
        <family val="3"/>
      </rPr>
      <t xml:space="preserve">h3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&gt;Flathead Pass&lt;/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</si>
  <si>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&gt;This was the day when most of the other racers began. It was also the first day when I wasn’t sure</t>
    </r>
  </si>
  <si>
    <t xml:space="preserve">      how far I would get. The first 14 miles were a gradual climb.</t>
  </si>
  <si>
    <t xml:space="preserve">      I started the day at 3,700 feet and I'm went up to 5,800 on the first pass.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</si>
  <si>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="../elev/20150612elev.png"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</si>
  <si>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40</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</si>
  <si>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="col-sm-8"</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</si>
  <si>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</si>
  <si>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</si>
  <si>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&gt;At the bottom of Flathead Valley Road</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</si>
  <si>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</si>
  <si>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="col-sm-4"</t>
    </r>
    <r>
      <rPr>
        <sz val="9.8000000000000007"/>
        <color rgb="FF000000"/>
        <rFont val="Consolas"/>
        <family val="3"/>
      </rPr>
      <t>&gt;</t>
    </r>
  </si>
  <si>
    <t xml:space="preserve">        I learned that passes are not that scenic but it’s always nice to get over the top and down to the other</t>
  </si>
  <si>
    <t xml:space="preserve">        side.</t>
  </si>
  <si>
    <t xml:space="preserve">      What I didn’t realize was that the other side of the pass was one of the more interesting trails of the</t>
  </si>
  <si>
    <t xml:space="preserve">      trip.</t>
  </si>
  <si>
    <t xml:space="preserve">      I started down the trail which ran along the river/stream and then the trail stopped.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</si>
  <si>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</si>
  <si>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h3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&gt;Trail or Stream??&lt;/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</si>
  <si>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It took me 20 minutes to determine that the trail hadn’t stopped it had just merged with the stream. So</t>
    </r>
  </si>
  <si>
    <t xml:space="preserve">      after wading</t>
  </si>
  <si>
    <t xml:space="preserve">      across the stream to look for the trail on the other side I realized I needed to follow the purple line on</t>
  </si>
  <si>
    <t xml:space="preserve">      my Garmin</t>
  </si>
  <si>
    <t xml:space="preserve">      and walked my bike down the stream/trail.</t>
  </si>
  <si>
    <r>
      <t xml:space="preserve">     &lt;</t>
    </r>
    <r>
      <rPr>
        <b/>
        <sz val="9.8000000000000007"/>
        <color rgb="FF000080"/>
        <rFont val="Consolas"/>
        <family val="3"/>
      </rPr>
      <t>p</t>
    </r>
    <r>
      <rPr>
        <sz val="9.8000000000000007"/>
        <color rgb="FF000000"/>
        <rFont val="Consolas"/>
        <family val="3"/>
      </rPr>
      <t>&gt; This is a picture from Friday later in the day when some of the other riders rode/hiked through.</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</si>
  <si>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="http://theradavist.com/2015/06/three-days-on-the-tour-divide-with-the-salsa-cutthroat/#1"</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</si>
  <si>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="../img/tourdivide/day04/day04pic05a.jpg" </t>
    </r>
    <r>
      <rPr>
        <b/>
        <sz val="9.8000000000000007"/>
        <color rgb="FF0000FF"/>
        <rFont val="Consolas"/>
        <family val="3"/>
      </rPr>
      <t>alt</t>
    </r>
    <r>
      <rPr>
        <b/>
        <sz val="9.8000000000000007"/>
        <color rgb="FF008000"/>
        <rFont val="Consolas"/>
        <family val="3"/>
      </rPr>
      <t>=""</t>
    </r>
    <r>
      <rPr>
        <sz val="9.8000000000000007"/>
        <color rgb="FF000000"/>
        <rFont val="Consolas"/>
        <family val="3"/>
      </rPr>
      <t>&gt;&lt;</t>
    </r>
    <r>
      <rPr>
        <b/>
        <sz val="9.8000000000000007"/>
        <color rgb="FF000080"/>
        <rFont val="Consolas"/>
        <family val="3"/>
      </rPr>
      <t>span</t>
    </r>
  </si>
  <si>
    <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
    </r>
  </si>
  <si>
    <r>
      <t xml:space="preserve">                                Photo from theradavist.com&lt;/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</si>
  <si>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="../img/tourdivide/day04/day04pic06.JPG"</t>
    </r>
  </si>
  <si>
    <r>
      <t xml:space="preserve">             </t>
    </r>
    <r>
      <rPr>
        <b/>
        <sz val="9.8000000000000007"/>
        <color rgb="FF0000FF"/>
        <rFont val="Consolas"/>
        <family val="3"/>
      </rPr>
      <t>alt</t>
    </r>
    <r>
      <rPr>
        <b/>
        <sz val="9.8000000000000007"/>
        <color rgb="FF008000"/>
        <rFont val="Consolas"/>
        <family val="3"/>
      </rPr>
      <t xml:space="preserve">="bikers at bottom of Flathead road"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</si>
  <si>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&gt;I met these two bikers on there way up the pass. I’m not sure how they navigated the stream.</t>
    </r>
  </si>
  <si>
    <r>
      <t xml:space="preserve">     &lt;</t>
    </r>
    <r>
      <rPr>
        <b/>
        <sz val="9.8000000000000007"/>
        <color rgb="FF000080"/>
        <rFont val="Consolas"/>
        <family val="3"/>
      </rPr>
      <t>p</t>
    </r>
    <r>
      <rPr>
        <sz val="9.8000000000000007"/>
        <color rgb="FF000000"/>
        <rFont val="Consolas"/>
        <family val="3"/>
      </rPr>
      <t>&gt;The water in the road continued off and on until the river grew and finally we had a bridge to cross it.</t>
    </r>
  </si>
  <si>
    <t xml:space="preserve">      I stopped for lunch to let me shoes dry out.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</si>
  <si>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="../img/tourdivide/day04/day04pic07.JPG"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</si>
  <si>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&gt;Lunch break along the river&lt;/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</si>
  <si>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</si>
  <si>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</si>
  <si>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="../img/tourdivide/day04/day04pic09.JPG"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</si>
  <si>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Flathead River&lt;/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</si>
  <si>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</si>
  <si>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h3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&gt;Butt's Cabin&lt;/</t>
    </r>
    <r>
      <rPr>
        <b/>
        <sz val="9.8000000000000007"/>
        <color rgb="FF000080"/>
        <rFont val="Consolas"/>
        <family val="3"/>
      </rPr>
      <t>h3</t>
    </r>
    <r>
      <rPr>
        <sz val="9.8000000000000007"/>
        <color rgb="FF000000"/>
        <rFont val="Consolas"/>
        <family val="3"/>
      </rPr>
      <t>&gt;</t>
    </r>
  </si>
  <si>
    <t xml:space="preserve">      Following this the trail was mostly flat and I arrived at a set of two small cabins (Butts cabin) on the</t>
  </si>
  <si>
    <t xml:space="preserve">      flats.</t>
  </si>
  <si>
    <t xml:space="preserve">      I was actually quite pleased that I had made it this far (68 miles) and so even though it was earlier I was</t>
  </si>
  <si>
    <t xml:space="preserve">      looking</t>
  </si>
  <si>
    <t xml:space="preserve">      to take a break.</t>
  </si>
  <si>
    <r>
      <t xml:space="preserve">     &lt;</t>
    </r>
    <r>
      <rPr>
        <b/>
        <sz val="9.8000000000000007"/>
        <color rgb="FF000080"/>
        <rFont val="Consolas"/>
        <family val="3"/>
      </rPr>
      <t xml:space="preserve">div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 xml:space="preserve">: </t>
    </r>
    <r>
      <rPr>
        <sz val="9.8000000000000007"/>
        <color rgb="FF0000FF"/>
        <rFont val="Consolas"/>
        <family val="3"/>
      </rPr>
      <t>50</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</si>
  <si>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="../img/tourdivide/day04/day04pic12.jpg"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</si>
  <si>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&gt;Butts cabin (pic from another web blog)&lt;/</t>
    </r>
    <r>
      <rPr>
        <b/>
        <sz val="9.8000000000000007"/>
        <color rgb="FF000080"/>
        <rFont val="Consolas"/>
        <family val="3"/>
      </rPr>
      <t>span</t>
    </r>
    <r>
      <rPr>
        <sz val="9.8000000000000007"/>
        <color rgb="FF000000"/>
        <rFont val="Consolas"/>
        <family val="3"/>
      </rPr>
      <t>&gt;</t>
    </r>
  </si>
  <si>
    <t xml:space="preserve">      The cabins are first come/first serve and just pulling in to the “camping area” were three "bubba" type</t>
  </si>
  <si>
    <t xml:space="preserve">      characters</t>
  </si>
  <si>
    <t xml:space="preserve">      who had arrived in separate pickup trucks with dogs, coolers and guns. So I asked Bubba #1 if it was all</t>
  </si>
  <si>
    <t xml:space="preserve">      right to sleep</t>
  </si>
  <si>
    <r>
      <t xml:space="preserve">      there. His response &lt;</t>
    </r>
    <r>
      <rPr>
        <b/>
        <sz val="9.8000000000000007"/>
        <color rgb="FF000080"/>
        <rFont val="Consolas"/>
        <family val="3"/>
      </rPr>
      <t>b</t>
    </r>
    <r>
      <rPr>
        <sz val="9.8000000000000007"/>
        <color rgb="FF000000"/>
        <rFont val="Consolas"/>
        <family val="3"/>
      </rPr>
      <t>&gt;“Sure if you don’t mind that we’re going to be shooting off guns and blowing stuff up</t>
    </r>
  </si>
  <si>
    <r>
      <t xml:space="preserve">      all night”&lt;/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</si>
  <si>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 xml:space="preserve">: </t>
    </r>
    <r>
      <rPr>
        <sz val="9.8000000000000007"/>
        <color rgb="FF0000FF"/>
        <rFont val="Consolas"/>
        <family val="3"/>
      </rPr>
      <t>65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</si>
  <si>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="../img/tourdivide/day04/day04pic12salsa55butts.jpg" </t>
    </r>
    <r>
      <rPr>
        <b/>
        <sz val="9.8000000000000007"/>
        <color rgb="FF0000FF"/>
        <rFont val="Consolas"/>
        <family val="3"/>
      </rPr>
      <t>alt</t>
    </r>
    <r>
      <rPr>
        <b/>
        <sz val="9.8000000000000007"/>
        <color rgb="FF008000"/>
        <rFont val="Consolas"/>
        <family val="3"/>
      </rPr>
      <t>=""</t>
    </r>
    <r>
      <rPr>
        <sz val="9.8000000000000007"/>
        <color rgb="FF000000"/>
        <rFont val="Consolas"/>
        <family val="3"/>
      </rPr>
      <t>&gt;&lt;</t>
    </r>
    <r>
      <rPr>
        <b/>
        <sz val="9.8000000000000007"/>
        <color rgb="FF000080"/>
        <rFont val="Consolas"/>
        <family val="3"/>
      </rPr>
      <t>span</t>
    </r>
  </si>
  <si>
    <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&gt;Photo from theradavist.com&lt;/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</si>
  <si>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&gt;Even though it was threatening rain I decided to move on as far as I could from the three Deliverence</t>
    </r>
  </si>
  <si>
    <t xml:space="preserve">      rejects.</t>
  </si>
  <si>
    <t xml:space="preserve">      It was only about 4pm but the 10 miles to Cabin Pass was a real grind.</t>
  </si>
  <si>
    <t xml:space="preserve">      It started to rain three times and the third time I needed to get my tent up before it really started to</t>
  </si>
  <si>
    <t xml:space="preserve">      rain.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</si>
  <si>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="../img/tourdivide/day04/day04pic11.JPG"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</si>
  <si>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&gt;Almost dry in my tarp/tent&lt;/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</si>
  <si>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&gt;There was no real flat ground so I did the best I could and got it set up before the heavy rain came about</t>
    </r>
  </si>
  <si>
    <t xml:space="preserve">      7pm.</t>
  </si>
  <si>
    <t xml:space="preserve">      I slept until 11 and then ended up sliding down my mattress pad into a heap at the bottom of my tent.</t>
  </si>
  <si>
    <r>
      <t xml:space="preserve">      Not so good. &lt;</t>
    </r>
    <r>
      <rPr>
        <b/>
        <sz val="9.8000000000000007"/>
        <color rgb="FF000080"/>
        <rFont val="Consolas"/>
        <family val="3"/>
      </rPr>
      <t>br</t>
    </r>
    <r>
      <rPr>
        <sz val="9.8000000000000007"/>
        <color rgb="FF000000"/>
        <rFont val="Consolas"/>
        <family val="3"/>
      </rPr>
      <t>&gt;&lt;</t>
    </r>
    <r>
      <rPr>
        <b/>
        <sz val="9.8000000000000007"/>
        <color rgb="FF000080"/>
        <rFont val="Consolas"/>
        <family val="3"/>
      </rPr>
      <t>br</t>
    </r>
    <r>
      <rPr>
        <sz val="9.8000000000000007"/>
        <color rgb="FF000000"/>
        <rFont val="Consolas"/>
        <family val="3"/>
      </rPr>
      <t>&gt;So ended my fourth day on the road in Canada.</t>
    </r>
  </si>
  <si>
    <t xml:space="preserve">                                – that’s what living is all about.</t>
  </si>
  <si>
    <r>
      <t xml:space="preserve">      Where noted photos by &lt;</t>
    </r>
    <r>
      <rPr>
        <b/>
        <sz val="9.8000000000000007"/>
        <color rgb="FF000080"/>
        <rFont val="Consolas"/>
        <family val="3"/>
      </rPr>
      <t>a</t>
    </r>
  </si>
  <si>
    <r>
      <t xml:space="preserve">        </t>
    </r>
    <r>
      <rPr>
        <b/>
        <sz val="9.8000000000000007"/>
        <color rgb="FF0000FF"/>
        <rFont val="Consolas"/>
        <family val="3"/>
      </rPr>
      <t>href</t>
    </r>
    <r>
      <rPr>
        <b/>
        <sz val="9.8000000000000007"/>
        <color rgb="FF008000"/>
        <rFont val="Consolas"/>
        <family val="3"/>
      </rPr>
      <t>="//http://theradavist.com/2015/06/three-days-on-the-tour-divide-with-the-salsa-cutthroat/#1"</t>
    </r>
    <r>
      <rPr>
        <sz val="9.8000000000000007"/>
        <color rgb="FF000000"/>
        <rFont val="Consolas"/>
        <family val="3"/>
      </rPr>
      <t>&gt;</t>
    </r>
  </si>
  <si>
    <r>
      <t xml:space="preserve">       theradavist.com&lt;/</t>
    </r>
    <r>
      <rPr>
        <b/>
        <sz val="9.8000000000000007"/>
        <color rgb="FF000080"/>
        <rFont val="Consolas"/>
        <family val="3"/>
      </rPr>
      <t>a</t>
    </r>
    <r>
      <rPr>
        <sz val="9.8000000000000007"/>
        <color rgb="FF000000"/>
        <rFont val="Consolas"/>
        <family val="3"/>
      </rPr>
      <t>&gt;.&lt;</t>
    </r>
    <r>
      <rPr>
        <b/>
        <sz val="9.8000000000000007"/>
        <color rgb="FF000080"/>
        <rFont val="Consolas"/>
        <family val="3"/>
      </rPr>
      <t>br</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</si>
  <si>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="tourdivide03.html"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</si>
  <si>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="tourdivide05.html"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</si>
  <si>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4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</si>
  <si>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Day06"</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</si>
  <si>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Day06&lt;/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</si>
  <si>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&gt;Eureka to Whitefish, MT&lt;/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</si>
  <si>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="../elev/20150614Eureka_whitefish.JPG"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</si>
  <si>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/.col-sm-8 blog-post --&gt;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</si>
  <si>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blog-post"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</si>
  <si>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="../elev/20150614summ.png"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</si>
  <si>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="../elev/20150614elev.png"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</si>
  <si>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&gt;Whitefish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</si>
  <si>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I was starting to see people going about my speed. This was a two pass trip and then a long trip into</t>
    </r>
  </si>
  <si>
    <t xml:space="preserve">      Whitefish.</t>
  </si>
  <si>
    <t xml:space="preserve">      After I came down out of the mountains in Canada I started the day in Eureka at 2,600 feet. The first pass</t>
  </si>
  <si>
    <t xml:space="preserve">      was Whitefish</t>
  </si>
  <si>
    <t xml:space="preserve">      pass and I rode along with a couple guys for a while and for the first time I could climb the grade.</t>
  </si>
  <si>
    <t xml:space="preserve">      It ended up being one of the easier passes (only 15 miles!) but it still felt good.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</si>
  <si>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</si>
  <si>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opening in the mountains above was where I was heading.</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</si>
  <si>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</si>
  <si>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Long gradual hill. Nothing too steep until the top.</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</si>
  <si>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</si>
  <si>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It didn't take long for some of the riders to be far off into the distance.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</si>
  <si>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</si>
  <si>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&gt;It's not all great scenery. Sometimes you just slog up a hill.&lt;/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</si>
  <si>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&gt;Downhill from Whitefish Pass&lt;/</t>
    </r>
    <r>
      <rPr>
        <b/>
        <sz val="9.8000000000000007"/>
        <color rgb="FF000080"/>
        <rFont val="Consolas"/>
        <family val="3"/>
      </rPr>
      <t>h2</t>
    </r>
    <r>
      <rPr>
        <sz val="9.8000000000000007"/>
        <color rgb="FF000000"/>
        <rFont val="Consolas"/>
        <family val="3"/>
      </rPr>
      <t>&gt;</t>
    </r>
  </si>
  <si>
    <t xml:space="preserve">      Various groups were out taking photos and videos so I got a shot of myself.</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</si>
  <si>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="http://theradavist.com/2015/06/three-days-on-the-tour-divide-with-the-salsa-cutthroat/#82"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</si>
  <si>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="../img/tourdivide/day06/Salsa-Cutthroat-165-1335x890.jpg"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</si>
  <si>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This dude already had stories for days.</t>
  </si>
  <si>
    <r>
      <t xml:space="preserve">     &lt;/</t>
    </r>
    <r>
      <rPr>
        <b/>
        <sz val="9.8000000000000007"/>
        <color rgb="FF000080"/>
        <rFont val="Consolas"/>
        <family val="3"/>
      </rPr>
      <t>a</t>
    </r>
    <r>
      <rPr>
        <sz val="9.8000000000000007"/>
        <color rgb="FF000000"/>
        <rFont val="Consolas"/>
        <family val="3"/>
      </rPr>
      <t>&gt;&lt;</t>
    </r>
    <r>
      <rPr>
        <b/>
        <sz val="9.8000000000000007"/>
        <color rgb="FF000080"/>
        <rFont val="Consolas"/>
        <family val="3"/>
      </rPr>
      <t>br</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</si>
  <si>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&gt;Photo from theradavist.com&lt;/</t>
    </r>
    <r>
      <rPr>
        <b/>
        <sz val="9.8000000000000007"/>
        <color rgb="FF000080"/>
        <rFont val="Consolas"/>
        <family val="3"/>
      </rPr>
      <t>span</t>
    </r>
    <r>
      <rPr>
        <sz val="9.8000000000000007"/>
        <color rgb="FF000000"/>
        <rFont val="Consolas"/>
        <family val="3"/>
      </rPr>
      <t>&gt;</t>
    </r>
  </si>
  <si>
    <t xml:space="preserve">      A lot more pictures there.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</si>
  <si>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</si>
  <si>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section between the two mountains was a good place to stop and eat lunch.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</si>
  <si>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</si>
  <si>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&gt;Red Meadow Lake&lt;/</t>
    </r>
    <r>
      <rPr>
        <b/>
        <sz val="9.8000000000000007"/>
        <color rgb="FF000080"/>
        <rFont val="Consolas"/>
        <family val="3"/>
      </rPr>
      <t>h2</t>
    </r>
    <r>
      <rPr>
        <sz val="9.8000000000000007"/>
        <color rgb="FF000000"/>
        <rFont val="Consolas"/>
        <family val="3"/>
      </rPr>
      <t>&gt;</t>
    </r>
  </si>
  <si>
    <t xml:space="preserve">      The second climb was to Red Meadow Lake. It had many false tops. This was the first place almost everyone</t>
  </si>
  <si>
    <t xml:space="preserve">      stopped riding and walked. I was certainly used to it but was glad to see others walking. I walked about 3</t>
  </si>
  <si>
    <t xml:space="preserve">      miles per hour.</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</si>
  <si>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="../img/tourdivide/day06/day06pic00.JPG"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</si>
  <si>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As I approach the top of the pass by the lake it turned dark so I put on my rain gear. Stopped to</t>
    </r>
  </si>
  <si>
    <t xml:space="preserve">      speak with a Iraq war veteran who was camping with his family. He gave me some water and I think I powered</t>
  </si>
  <si>
    <t xml:space="preserve">      down</t>
  </si>
  <si>
    <t xml:space="preserve">      a Cliff bar and was on my way. Rain didn't hit until later. The descent from Red Meadow was fast and rocky.</t>
  </si>
  <si>
    <t xml:space="preserve">      Fun ride down but when I got to the bottom my tire was feeling pretty soft.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</si>
  <si>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</si>
  <si>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&gt;Still some snow in the peaks by Red Meadow Lake&lt;/</t>
    </r>
    <r>
      <rPr>
        <b/>
        <sz val="9.8000000000000007"/>
        <color rgb="FF000080"/>
        <rFont val="Consolas"/>
        <family val="3"/>
      </rPr>
      <t>span</t>
    </r>
    <r>
      <rPr>
        <sz val="9.8000000000000007"/>
        <color rgb="FF000000"/>
        <rFont val="Consolas"/>
        <family val="3"/>
      </rPr>
      <t>&gt;</t>
    </r>
  </si>
  <si>
    <t xml:space="preserve">      When I reached the bottom of the road after Red Meadow Lake by Upper Whitefish Lake I realized I had made</t>
  </si>
  <si>
    <t xml:space="preserve">      a major miscalculation. The sign told me the truth. Whitefish was still 20 miles further and I had a tire</t>
  </si>
  <si>
    <t xml:space="preserve">      that wasn't really holding air. I could get 2 or 3 miles but then had to refill the front tire. In addition</t>
  </si>
  <si>
    <t xml:space="preserve">      the "Upper" in the title of Upper White Fish Lake was misleading. During the 20 miles I did almost as much</t>
  </si>
  <si>
    <t xml:space="preserve">      upping as downing. Finally reached Whitefish and was just about the last person to get into the bike shop,</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</si>
  <si>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="http://glaciercyclery.com/"</t>
    </r>
    <r>
      <rPr>
        <sz val="9.8000000000000007"/>
        <color rgb="FF000000"/>
        <rFont val="Consolas"/>
        <family val="3"/>
      </rPr>
      <t>&gt;Glacier Cyclery &amp; Nordic</t>
    </r>
  </si>
  <si>
    <r>
      <t xml:space="preserve">      &lt;/</t>
    </r>
    <r>
      <rPr>
        <b/>
        <sz val="9.8000000000000007"/>
        <color rgb="FF000080"/>
        <rFont val="Consolas"/>
        <family val="3"/>
      </rPr>
      <t>a</t>
    </r>
    <r>
      <rPr>
        <sz val="9.8000000000000007"/>
        <color rgb="FF000000"/>
        <rFont val="Consolas"/>
        <family val="3"/>
      </rPr>
      <t>&gt;.</t>
    </r>
  </si>
  <si>
    <t xml:space="preserve">      All I needed was a new tube but I was happy for them to put it on. It was closing in on 7pm on a Sunday</t>
  </si>
  <si>
    <t xml:space="preserve">      night and the bike shop guys wanted to go home. They were good about it and sent me next door for some pizza</t>
  </si>
  <si>
    <t xml:space="preserve">      at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</si>
  <si>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="http://www.secondstreetpizza.com/"</t>
    </r>
    <r>
      <rPr>
        <sz val="9.8000000000000007"/>
        <color rgb="FF000000"/>
        <rFont val="Consolas"/>
        <family val="3"/>
      </rPr>
      <t>&gt;Second Street Pizza</t>
    </r>
  </si>
  <si>
    <r>
      <t xml:space="preserve">      &lt;/</t>
    </r>
    <r>
      <rPr>
        <b/>
        <sz val="9.8000000000000007"/>
        <color rgb="FF000080"/>
        <rFont val="Consolas"/>
        <family val="3"/>
      </rPr>
      <t>a</t>
    </r>
    <r>
      <rPr>
        <sz val="9.8000000000000007"/>
        <color rgb="FF000000"/>
        <rFont val="Consolas"/>
        <family val="3"/>
      </rPr>
      <t>&gt;. They bike shop guys had to drag me out of the there so they could go home. The chain motels were a few</t>
    </r>
  </si>
  <si>
    <t xml:space="preserve">      miles away so I stayed at the Downtowner. Barely got to the room and I was out like a light by 9:30.</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</si>
  <si>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="../img/tourdivide/day06/day06downtowner.jpg"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</si>
  <si>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Photographs by Jim O'Brien unless otherwise noted&lt;</t>
    </r>
    <r>
      <rPr>
        <b/>
        <sz val="9.8000000000000007"/>
        <color rgb="FF000080"/>
        <rFont val="Consolas"/>
        <family val="3"/>
      </rPr>
      <t>br</t>
    </r>
    <r>
      <rPr>
        <sz val="9.8000000000000007"/>
        <color rgb="FF000000"/>
        <rFont val="Consolas"/>
        <family val="3"/>
      </rPr>
      <t>&gt;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&gt;More of</t>
    </r>
  </si>
  <si>
    <r>
      <t xml:space="preserve">       my TD pictures on Flickr&lt;/</t>
    </r>
    <r>
      <rPr>
        <b/>
        <sz val="9.8000000000000007"/>
        <color rgb="FF000080"/>
        <rFont val="Consolas"/>
        <family val="3"/>
      </rPr>
      <t>a</t>
    </r>
    <r>
      <rPr>
        <sz val="9.8000000000000007"/>
        <color rgb="FF000000"/>
        <rFont val="Consolas"/>
        <family val="3"/>
      </rPr>
      <t>&gt;.&lt;/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</si>
  <si>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/.blog-post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</si>
  <si>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/.blog-main --&gt;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</si>
  <si>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="tourdivide01.html"</t>
    </r>
    <r>
      <rPr>
        <sz val="9.8000000000000007"/>
        <color rgb="FF000000"/>
        <rFont val="Consolas"/>
        <family val="3"/>
      </rPr>
      <t>&gt;First&lt;/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</si>
  <si>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="tourdivide05.html"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</si>
  <si>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="tourdivide07.html"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</si>
  <si>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="tourdivide36.html"</t>
    </r>
    <r>
      <rPr>
        <sz val="9.8000000000000007"/>
        <color rgb="FF000000"/>
        <rFont val="Consolas"/>
        <family val="3"/>
      </rPr>
      <t>&gt;Last&lt;/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</si>
  <si>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06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</si>
  <si>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Day07"</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</si>
  <si>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Day07&lt;/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</si>
  <si>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="col-sm-8 blog-main"</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</si>
  <si>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="blog-post"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</si>
  <si>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="../elev/20150615summ.png"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</si>
  <si>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="../elev/20150615elev.png"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</si>
  <si>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 morning off&lt;/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</si>
  <si>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</si>
  <si>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/.col-sm-8 blog-main --&gt;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</si>
  <si>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="tdsidebar"</t>
    </r>
    <r>
      <rPr>
        <sz val="9.8000000000000007"/>
        <color rgb="FF000000"/>
        <rFont val="Consolas"/>
        <family val="3"/>
      </rPr>
      <t>&gt;&lt;/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/.blog-sidebar --&gt;</t>
    </r>
  </si>
  <si>
    <r>
      <t xml:space="preserve">   </t>
    </r>
    <r>
      <rPr>
        <sz val="9.8000000000000007"/>
        <color rgb="FF000000"/>
        <rFont val="Consolas"/>
        <family val="3"/>
      </rP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blog-post"</t>
    </r>
    <r>
      <rPr>
        <sz val="9.8000000000000007"/>
        <color rgb="FF000000"/>
        <rFont val="Consolas"/>
        <family val="3"/>
      </rPr>
      <t>&gt;</t>
    </r>
  </si>
  <si>
    <t xml:space="preserve">     Heading out of town I went back over the bridge crossing the rail yard. A few miles further I drove through</t>
  </si>
  <si>
    <t xml:space="preserve">     the town of</t>
  </si>
  <si>
    <t xml:space="preserve">     Columbia Falls but didn't stop at the falls. The ride had 1 climb in it but generally ran along side the</t>
  </si>
  <si>
    <t xml:space="preserve">     mountains of</t>
  </si>
  <si>
    <t xml:space="preserve">     Glacier NP to the east and the Swan River. Mostly a series of steps east and then south.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</si>
  <si>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</si>
  <si>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</si>
  <si>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Pretty flat and hot.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</si>
  <si>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</si>
  <si>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</si>
  <si>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Lots of farms and mountains all around.</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</si>
  <si>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</si>
  <si>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&gt;Wrong turn in Ferndale&lt;/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</si>
  <si>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I added about 4 miles to my day by being in my own little world as I approached Ferndale. I saw the</t>
    </r>
  </si>
  <si>
    <t xml:space="preserve">     Ferndale fire house and the Ferndale Baptist Church but instead of stopping I continued to follow the guy</t>
  </si>
  <si>
    <r>
      <t xml:space="preserve">     in front of me until I was two miles out of town. I stopped a passing car and they sent me back.&lt;/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</si>
  <si>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="../img/tourdivide/day07/day07pic09.JPG"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</si>
  <si>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Stayed at a real nice B&amp;B,</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</si>
  <si>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="http://www.candlewyckeinn.com/"</t>
    </r>
    <r>
      <rPr>
        <sz val="9.8000000000000007"/>
        <color rgb="FF000000"/>
        <rFont val="Consolas"/>
        <family val="3"/>
      </rPr>
      <t>&gt;The Candlewycke Inn</t>
    </r>
  </si>
  <si>
    <t xml:space="preserve">     . Only me and 1 other rider (Travis) who left before dawn. A third arrived somewhere in the night but I never</t>
  </si>
  <si>
    <t xml:space="preserve">     saw him.</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</si>
  <si>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="../img/tourdivide/day07/day07pic08.JPG"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</si>
  <si>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&gt;Text by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="http://www.havingadventures.com/"</t>
    </r>
    <r>
      <rPr>
        <sz val="9.8000000000000007"/>
        <color rgb="FF000000"/>
        <rFont val="Consolas"/>
        <family val="3"/>
      </rPr>
      <t>&gt;Jim O'Brien&lt;/</t>
    </r>
    <r>
      <rPr>
        <b/>
        <sz val="9.8000000000000007"/>
        <color rgb="FF000080"/>
        <rFont val="Consolas"/>
        <family val="3"/>
      </rPr>
      <t>a</t>
    </r>
    <r>
      <rPr>
        <sz val="9.8000000000000007"/>
        <color rgb="FF000000"/>
        <rFont val="Consolas"/>
        <family val="3"/>
      </rPr>
      <t>&gt;</t>
    </r>
  </si>
  <si>
    <r>
      <t xml:space="preserve">     . Photographs by Jim O'Brien&lt;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&gt;TD on Flickr&lt;/</t>
    </r>
    <r>
      <rPr>
        <b/>
        <sz val="9.8000000000000007"/>
        <color rgb="FF000080"/>
        <rFont val="Consolas"/>
        <family val="3"/>
      </rPr>
      <t>a</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</si>
  <si>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/.blog-main --&gt;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</si>
  <si>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="tourdivide06.html"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</si>
  <si>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="tourdivide08.html"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</si>
  <si>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="tourdivide36.html"</t>
    </r>
    <r>
      <rPr>
        <sz val="9.8000000000000007"/>
        <color rgb="FF000000"/>
        <rFont val="Consolas"/>
        <family val="3"/>
      </rPr>
      <t>&gt;last&lt;/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</si>
  <si>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7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</si>
  <si>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Day12"</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</si>
  <si>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Day12&lt;/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</si>
  <si>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p </t>
    </r>
    <r>
      <rPr>
        <b/>
        <sz val="9.8000000000000007"/>
        <color rgb="FF0000FF"/>
        <rFont val="Consolas"/>
        <family val="3"/>
      </rPr>
      <t>class</t>
    </r>
    <r>
      <rPr>
        <b/>
        <sz val="9.8000000000000007"/>
        <color rgb="FF008000"/>
        <rFont val="Consolas"/>
        <family val="3"/>
      </rPr>
      <t>="post-meta"</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</si>
  <si>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&gt;North Davis St&lt;/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</si>
  <si>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</si>
  <si>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</si>
  <si>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&gt;Kelly Elder, my  host in Helena</t>
    </r>
  </si>
  <si>
    <t xml:space="preserve">      This would be a really long difficult ride. I didn't realize how hard as I left N Davis Street.</t>
  </si>
  <si>
    <r>
      <t xml:space="preserve">    &lt;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="tdsidebar"</t>
    </r>
    <r>
      <rPr>
        <sz val="9.8000000000000007"/>
        <color rgb="FF000000"/>
        <rFont val="Consolas"/>
        <family val="3"/>
      </rPr>
      <t>&gt;&lt;/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/.blog-sidebar --&gt;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</si>
  <si>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="../elev/20150620summ.png"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75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</si>
  <si>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br</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</si>
  <si>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="../elev/20150620elev.png"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 xml:space="preserve">% </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</si>
  <si>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</si>
  <si>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&gt;Toward the top of Corral Gulch Dr</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</si>
  <si>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</si>
  <si>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hr</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</si>
  <si>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 couple major climbs before lunch&lt;/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</si>
  <si>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="../elev/20150620helena_basin.JPG"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75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</si>
  <si>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Helena to Basin, Montana was a real struggle. After getting over the first climb the second climb was a</t>
  </si>
  <si>
    <t xml:space="preserve">      monster.</t>
  </si>
  <si>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</si>
  <si>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</si>
  <si>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</si>
  <si>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&gt;The roots and rocks add to my fun&lt;/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</si>
  <si>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="../img/tourdivide/day12/day12pic07a.JPG"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</si>
  <si>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The roots and rocks really started to grind me down.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</si>
  <si>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</si>
  <si>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This photo from another site really captures it. Lucky for me I didn't have as much weight as this guy but I</t>
  </si>
  <si>
    <t xml:space="preserve">      still struggled.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</si>
  <si>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</si>
  <si>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This 14 mile section took me more than three and a half hours and when I finally got to the top and started</t>
  </si>
  <si>
    <t xml:space="preserve">      down I</t>
  </si>
  <si>
    <t xml:space="preserve">      made a wrong turn.</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</si>
  <si>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&gt;Crushing mistake&lt;/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</si>
  <si>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="../img/tourdivide/day12/day12pic08.jpg"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</si>
  <si>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I was so happy to be going down I turned left instead of right. I then spent the next 10 minutes trying not</t>
  </si>
  <si>
    <t xml:space="preserve">      to crash</t>
  </si>
  <si>
    <t xml:space="preserve">      and neglecting my purple line. By the time I looked down and realized it was gone I had dropped 500 feet and</t>
  </si>
  <si>
    <t xml:space="preserve">      gone over a mile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</si>
  <si>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="../img/tourdivide/day12/day12pic09.JPG"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</si>
  <si>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Hard to describe how hard it is to push a bike weighting 50 lbs over ternain like this.</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</si>
  <si>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</si>
  <si>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Walking the mile back to the top really tested me mentally. There wasn't anything I could do but go</t>
  </si>
  <si>
    <t xml:space="preserve">      back up but it seemed that I was never going to get back up that hill.</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</si>
  <si>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="../elev/day12wrongturn.png"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</si>
  <si>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shaded area is the ground cover up and down.</t>
    </r>
  </si>
  <si>
    <t xml:space="preserve">      When I reached the intersection where I had made my mistake I still had 350 feet to climb. This five miles</t>
  </si>
  <si>
    <t xml:space="preserve">      was definitely a low point.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</si>
  <si>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</si>
  <si>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I stopped in the small town of Basin, MT and had a small pizza and lots to drink. A family came in</t>
  </si>
  <si>
    <t xml:space="preserve">      while I was eating and the woman behind the counter required the husband to remove his pistol and holster.</t>
  </si>
  <si>
    <t xml:space="preserve">      When I got back on my way I road along I15 for a while and then went up a 15 mile gradual climb to avoid the</t>
  </si>
  <si>
    <t xml:space="preserve">      interstate frontage road. This was another instance where I could see a river being formed as I traveled up</t>
  </si>
  <si>
    <t xml:space="preserve">      to the source and then down the other side as another river was formed going south.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</si>
  <si>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</si>
  <si>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Me and my shadow towards the end of a long day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</si>
  <si>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</si>
  <si>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Interesting rock structures looks like Lava. This was the name of the section I had just come through.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</si>
  <si>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</si>
  <si>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</si>
  <si>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Two of many sculptures in the front yard along Oro Fino Gulch Road which led into Butte.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</si>
  <si>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</si>
  <si>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Up above Butte after a long day made longer by a last 500 foot climb during this stretch along Oro Fino</t>
  </si>
  <si>
    <t xml:space="preserve">      Gultch.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</si>
  <si>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</si>
  <si>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What I didn't realize as you come in from the northwest of Butte that there is a giant open pit</t>
  </si>
  <si>
    <t xml:space="preserve">      mine which is bigger than the town itself.</t>
  </si>
  <si>
    <t xml:space="preserve">      It is in the top left corner of the picture above. Easier to see in the screen shot of a google map.</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</si>
  <si>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="../elev/day12buttemap.png"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</si>
  <si>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&gt;The moon and planets outside the Comfort Inn in Butte.&lt;/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</si>
  <si>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="../img/tourdivide/day12/day12pic18.JPG"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</si>
  <si>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June 20 - 80 miles Helena to Butte, MT</t>
  </si>
  <si>
    <r>
      <t xml:space="preserve">     &lt;</t>
    </r>
    <r>
      <rPr>
        <b/>
        <sz val="9.8000000000000007"/>
        <color rgb="FF000080"/>
        <rFont val="Consolas"/>
        <family val="3"/>
      </rPr>
      <t xml:space="preserve">iframe </t>
    </r>
    <r>
      <rPr>
        <b/>
        <sz val="9.8000000000000007"/>
        <color rgb="FF0000FF"/>
        <rFont val="Consolas"/>
        <family val="3"/>
      </rPr>
      <t>src</t>
    </r>
    <r>
      <rPr>
        <b/>
        <sz val="9.8000000000000007"/>
        <color rgb="FF008000"/>
        <rFont val="Consolas"/>
        <family val="3"/>
      </rPr>
      <t xml:space="preserve">="https://www.google.com/maps/d/embed?mid=z16rO1nf9OsU.kQFVh1gMgHlU" </t>
    </r>
    <r>
      <rPr>
        <b/>
        <sz val="9.8000000000000007"/>
        <color rgb="FF0000FF"/>
        <rFont val="Consolas"/>
        <family val="3"/>
      </rPr>
      <t>width</t>
    </r>
    <r>
      <rPr>
        <b/>
        <sz val="9.8000000000000007"/>
        <color rgb="FF008000"/>
        <rFont val="Consolas"/>
        <family val="3"/>
      </rPr>
      <t>="640"</t>
    </r>
  </si>
  <si>
    <r>
      <t xml:space="preserve">             </t>
    </r>
    <r>
      <rPr>
        <b/>
        <sz val="9.8000000000000007"/>
        <color rgb="FF0000FF"/>
        <rFont val="Consolas"/>
        <family val="3"/>
      </rPr>
      <t>height</t>
    </r>
    <r>
      <rPr>
        <b/>
        <sz val="9.8000000000000007"/>
        <color rgb="FF008000"/>
        <rFont val="Consolas"/>
        <family val="3"/>
      </rPr>
      <t>="480"</t>
    </r>
    <r>
      <rPr>
        <sz val="9.8000000000000007"/>
        <color rgb="FF000000"/>
        <rFont val="Consolas"/>
        <family val="3"/>
      </rPr>
      <t>&gt;&lt;/</t>
    </r>
    <r>
      <rPr>
        <b/>
        <sz val="9.8000000000000007"/>
        <color rgb="FF000080"/>
        <rFont val="Consolas"/>
        <family val="3"/>
      </rPr>
      <t>iframe</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</si>
  <si>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="https://www.google.com/maps/d/embed?mid=z16rO1nf9OsU.kQFVh1gMgHlU&amp;usp=sharing"</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</si>
  <si>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&gt;To go places and do things that I've never done before</t>
    </r>
  </si>
  <si>
    <r>
      <t xml:space="preserve">                        – that’s what living is all about.&lt;/</t>
    </r>
    <r>
      <rPr>
        <b/>
        <sz val="9.8000000000000007"/>
        <color rgb="FF000080"/>
        <rFont val="Consolas"/>
        <family val="3"/>
      </rPr>
      <t>span</t>
    </r>
    <r>
      <rPr>
        <sz val="9.8000000000000007"/>
        <color rgb="FF000000"/>
        <rFont val="Consolas"/>
        <family val="3"/>
      </rPr>
      <t>&gt;</t>
    </r>
  </si>
  <si>
    <r>
      <t xml:space="preserve">      . Photographs by Jim O'Brien&lt;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&gt;TD on Flickr&lt;/</t>
    </r>
    <r>
      <rPr>
        <b/>
        <sz val="9.8000000000000007"/>
        <color rgb="FF000080"/>
        <rFont val="Consolas"/>
        <family val="3"/>
      </rPr>
      <t>a</t>
    </r>
    <r>
      <rPr>
        <sz val="9.8000000000000007"/>
        <color rgb="FF000000"/>
        <rFont val="Consolas"/>
        <family val="3"/>
      </rPr>
      <t>&gt;.&lt;/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</si>
  <si>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/.blog-main --&gt;</t>
    </r>
  </si>
  <si>
    <r>
      <t>&lt;</t>
    </r>
    <r>
      <rPr>
        <b/>
        <sz val="9.8000000000000007"/>
        <color rgb="FF000080"/>
        <rFont val="Consolas"/>
        <family val="3"/>
      </rPr>
      <t xml:space="preserve">TABLE </t>
    </r>
    <r>
      <rPr>
        <b/>
        <sz val="9.8000000000000007"/>
        <color rgb="FF0000FF"/>
        <rFont val="Consolas"/>
        <family val="3"/>
      </rPr>
      <t>BORDER</t>
    </r>
    <r>
      <rPr>
        <b/>
        <sz val="9.8000000000000007"/>
        <color rgb="FF008000"/>
        <rFont val="Consolas"/>
        <family val="3"/>
      </rPr>
      <t xml:space="preserve">="0" </t>
    </r>
    <r>
      <rPr>
        <b/>
        <sz val="9.8000000000000007"/>
        <color rgb="FF0000FF"/>
        <rFont val="Consolas"/>
        <family val="3"/>
      </rPr>
      <t>CELLPADDING</t>
    </r>
    <r>
      <rPr>
        <b/>
        <sz val="9.8000000000000007"/>
        <color rgb="FF008000"/>
        <rFont val="Consolas"/>
        <family val="3"/>
      </rPr>
      <t xml:space="preserve">="5" </t>
    </r>
    <r>
      <rPr>
        <b/>
        <sz val="9.8000000000000007"/>
        <color rgb="FF0000FF"/>
        <rFont val="Consolas"/>
        <family val="3"/>
      </rPr>
      <t>CELLSPACING</t>
    </r>
    <r>
      <rPr>
        <b/>
        <sz val="9.8000000000000007"/>
        <color rgb="FF008000"/>
        <rFont val="Consolas"/>
        <family val="3"/>
      </rPr>
      <t xml:space="preserve">="3"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</si>
  <si>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="tourdivide11.html"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</si>
  <si>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="tourdivide13.html"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</si>
  <si>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12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</si>
  <si>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TD </t>
    </r>
    <r>
      <rPr>
        <b/>
        <sz val="9.8000000000000007"/>
        <color rgb="FF0000FF"/>
        <rFont val="Consolas"/>
        <family val="3"/>
      </rPr>
      <t>ALIGN</t>
    </r>
    <r>
      <rPr>
        <b/>
        <sz val="9.8000000000000007"/>
        <color rgb="FF008000"/>
        <rFont val="Consolas"/>
        <family val="3"/>
      </rPr>
      <t xml:space="preserve">="RIGHT" </t>
    </r>
    <r>
      <rPr>
        <b/>
        <sz val="9.8000000000000007"/>
        <color rgb="FF0000FF"/>
        <rFont val="Consolas"/>
        <family val="3"/>
      </rPr>
      <t>WIDTH</t>
    </r>
    <r>
      <rPr>
        <b/>
        <sz val="9.8000000000000007"/>
        <color rgb="FF008000"/>
        <rFont val="Consolas"/>
        <family val="3"/>
      </rPr>
      <t>="50%"</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</si>
  <si>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Day08"</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</si>
  <si>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Day08&lt;/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</si>
  <si>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&gt;Leaving Ferndale&lt;/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</si>
  <si>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="../img/tourdivide/day08/day08picgoogmapelev.jpg"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</si>
  <si>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="../elev/20150616elev.png"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</si>
  <si>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&gt;After my previous night at the Downtowner in Whitefish the</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</si>
  <si>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="http://www.candlewyckeinn.com/"</t>
    </r>
    <r>
      <rPr>
        <sz val="9.8000000000000007"/>
        <color rgb="FF000000"/>
        <rFont val="Consolas"/>
        <family val="3"/>
      </rPr>
      <t>&gt;The Candlewycke Inn</t>
    </r>
  </si>
  <si>
    <r>
      <t xml:space="preserve">      &lt;/</t>
    </r>
    <r>
      <rPr>
        <b/>
        <sz val="9.8000000000000007"/>
        <color rgb="FF000080"/>
        <rFont val="Consolas"/>
        <family val="3"/>
      </rPr>
      <t>a</t>
    </r>
    <r>
      <rPr>
        <sz val="9.8000000000000007"/>
        <color rgb="FF000000"/>
        <rFont val="Consolas"/>
        <family val="3"/>
      </rPr>
      <t>&gt; was a great stop. The food was good and service was</t>
    </r>
  </si>
  <si>
    <t xml:space="preserve">      excellent. I was also able to replace ACA US1 map lost to the wind during the previous day. Megan, the</t>
  </si>
  <si>
    <t xml:space="preserve">      owner, allowed</t>
  </si>
  <si>
    <r>
      <t xml:space="preserve">      me to use her computer and copy the cue sheets from Travis' map. &lt;</t>
    </r>
    <r>
      <rPr>
        <b/>
        <sz val="9.8000000000000007"/>
        <color rgb="FF000080"/>
        <rFont val="Consolas"/>
        <family val="3"/>
      </rPr>
      <t>br</t>
    </r>
    <r>
      <rPr>
        <sz val="9.8000000000000007"/>
        <color rgb="FF000000"/>
        <rFont val="Consolas"/>
        <family val="3"/>
      </rPr>
      <t>&gt;These and my Garmin should get me to</t>
    </r>
  </si>
  <si>
    <t xml:space="preserve">      Polaris</t>
  </si>
  <si>
    <t xml:space="preserve">      which is the end of Map01.</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</si>
  <si>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</si>
  <si>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I had anticiated a relatively easy day riding in the valley between two rows of mountains. About three miles</t>
  </si>
  <si>
    <t xml:space="preserve">      Fermdale</t>
  </si>
  <si>
    <t xml:space="preserve">      the trail went almost straight up. We went into the mountains to the west and climbed 1,800 feet over 7+</t>
  </si>
  <si>
    <t xml:space="preserve">      miles.</t>
  </si>
  <si>
    <t xml:space="preserve">      It took over two hours to get up this hill with no name.</t>
  </si>
  <si>
    <t xml:space="preserve">      Lesson learned "Never anticipate - just ride and see what the TD serves up.</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</si>
  <si>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&gt;Bird attack&lt;/</t>
    </r>
    <r>
      <rPr>
        <b/>
        <sz val="9.8000000000000007"/>
        <color rgb="FF000080"/>
        <rFont val="Consolas"/>
        <family val="3"/>
      </rPr>
      <t>h2</t>
    </r>
    <r>
      <rPr>
        <sz val="9.8000000000000007"/>
        <color rgb="FF000000"/>
        <rFont val="Consolas"/>
        <family val="3"/>
      </rPr>
      <t>&gt;</t>
    </r>
  </si>
  <si>
    <t xml:space="preserve">      Somewhere along the way this bird came jumping out of the brush and startled me. By the time I was past</t>
  </si>
  <si>
    <t xml:space="preserve">      her I realized she must have a bunch of babies right along the trail</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</si>
  <si>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</si>
  <si>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&gt;Protecting the nest&lt;/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</si>
  <si>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</si>
  <si>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&gt;Puffing her neck at everyone who came by&lt;/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</si>
  <si>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&gt;Grizzly country&lt;/</t>
    </r>
    <r>
      <rPr>
        <b/>
        <sz val="9.8000000000000007"/>
        <color rgb="FF000080"/>
        <rFont val="Consolas"/>
        <family val="3"/>
      </rPr>
      <t>h2</t>
    </r>
    <r>
      <rPr>
        <sz val="9.8000000000000007"/>
        <color rgb="FF000000"/>
        <rFont val="Consolas"/>
        <family val="3"/>
      </rPr>
      <t>&gt;</t>
    </r>
  </si>
  <si>
    <t xml:space="preserve">      The second climb was a more modest 900 feet and then we just had some 300 to 500 footers to do throughout</t>
  </si>
  <si>
    <t xml:space="preserve">      the afternoon.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</si>
  <si>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</si>
  <si>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&gt;Good place for a Grizz to hide&lt;/</t>
    </r>
    <r>
      <rPr>
        <b/>
        <sz val="9.8000000000000007"/>
        <color rgb="FF000080"/>
        <rFont val="Consolas"/>
        <family val="3"/>
      </rPr>
      <t>span</t>
    </r>
    <r>
      <rPr>
        <sz val="9.8000000000000007"/>
        <color rgb="FF000000"/>
        <rFont val="Consolas"/>
        <family val="3"/>
      </rPr>
      <t>&gt;</t>
    </r>
  </si>
  <si>
    <t xml:space="preserve">        This is the section with the highest Grizzly population in the country. It is just west of Glacier</t>
  </si>
  <si>
    <t xml:space="preserve">        National</t>
  </si>
  <si>
    <t xml:space="preserve">        Park. A woman who got into Holland LAke a few hours ahead of me was charged by a bear and sprayed him</t>
  </si>
  <si>
    <t xml:space="preserve">        (and some on herself). She was a very strong rider but road the next few days in a group.</t>
  </si>
  <si>
    <t xml:space="preserve">        Some of the sections of double and single track I road through were really tight to the woods so if</t>
  </si>
  <si>
    <t xml:space="preserve">        there</t>
  </si>
  <si>
    <t xml:space="preserve">        was a bear in there he wouldn't have far to go to get you.</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</si>
  <si>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="../img/tourdivide/day08/day08pic05.JPG"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</si>
  <si>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&gt;Even better ...&lt;/</t>
    </r>
    <r>
      <rPr>
        <b/>
        <sz val="9.8000000000000007"/>
        <color rgb="FF000080"/>
        <rFont val="Consolas"/>
        <family val="3"/>
      </rPr>
      <t>span</t>
    </r>
    <r>
      <rPr>
        <sz val="9.8000000000000007"/>
        <color rgb="FF000000"/>
        <rFont val="Consolas"/>
        <family val="3"/>
      </rPr>
      <t>&gt;</t>
    </r>
  </si>
  <si>
    <t xml:space="preserve">      Lots of "Hey Bear" calls. I even had to walk thru some of those sections and it definitely felt kind of</t>
  </si>
  <si>
    <t xml:space="preserve">      spooky.</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</si>
  <si>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 break by Glacier Creek&lt;/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</si>
  <si>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</si>
  <si>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 was running low on water and decided to stop at this river, Glacier Creek.</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</si>
  <si>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</si>
  <si>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 went down by the water and there was a nice area to sit so I took my shoes off and cooled my heels in the</t>
  </si>
  <si>
    <t xml:space="preserve">      water.</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</si>
  <si>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="../img/tourdivide/day08/day08pic09a.JPG"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</si>
  <si>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catapillers were all around but the other bugs weren't bad. Water was nice and cold.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</si>
  <si>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</si>
  <si>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 had a nice view both up the river and down from under the bridge.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</si>
  <si>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="../img/tourdivide/day08/day08pic09.JPG"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</si>
  <si>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pictures don't really show the way the mountains in the background really look.</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</si>
  <si>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="../img/tourdivide/day08/day08pic11.JPG"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</si>
  <si>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Toward the end of the day but still some hard stretchs from here.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</si>
  <si>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</si>
  <si>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&gt;Holland Lake&lt;/</t>
    </r>
    <r>
      <rPr>
        <b/>
        <sz val="9.8000000000000007"/>
        <color rgb="FF000080"/>
        <rFont val="Consolas"/>
        <family val="3"/>
      </rPr>
      <t>h2</t>
    </r>
    <r>
      <rPr>
        <sz val="9.8000000000000007"/>
        <color rgb="FF000000"/>
        <rFont val="Consolas"/>
        <family val="3"/>
      </rPr>
      <t>&gt;</t>
    </r>
  </si>
  <si>
    <t xml:space="preserve">      I thought when we turned into Holland Lake I was getting close. Unfortunately the road was one of the worst</t>
  </si>
  <si>
    <t xml:space="preserve">      I had with washboard throughout.</t>
  </si>
  <si>
    <t xml:space="preserve">      It was hard to get any momentum when you can't find a groove. I didn't know what to expect for my room that</t>
  </si>
  <si>
    <r>
      <t xml:space="preserve">      The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="http://hollandlakelodge.com//"</t>
    </r>
    <r>
      <rPr>
        <sz val="9.8000000000000007"/>
        <color rgb="FF000000"/>
        <rFont val="Consolas"/>
        <family val="3"/>
      </rPr>
      <t>&gt;Holland Lake Lodge&lt;/</t>
    </r>
    <r>
      <rPr>
        <b/>
        <sz val="9.8000000000000007"/>
        <color rgb="FF000080"/>
        <rFont val="Consolas"/>
        <family val="3"/>
      </rPr>
      <t>a</t>
    </r>
    <r>
      <rPr>
        <sz val="9.8000000000000007"/>
        <color rgb="FF000000"/>
        <rFont val="Consolas"/>
        <family val="3"/>
      </rPr>
      <t>&gt; was 1.5 miles off the trail.</t>
    </r>
  </si>
  <si>
    <t xml:space="preserve">      What I found when I finally arrived was wonderful!!</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</si>
  <si>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</si>
  <si>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 had called ahead and the owner had told me they would definitely have space. It was either there or the</t>
  </si>
  <si>
    <t xml:space="preserve">      campground</t>
  </si>
  <si>
    <t xml:space="preserve">      next door! Christian, the owner, was wonderful.</t>
  </si>
  <si>
    <t xml:space="preserve">      The food was great and I had about three deserts. I met many TD riders who would pop up again and again</t>
  </si>
  <si>
    <t xml:space="preserve">      during the next week.</t>
  </si>
  <si>
    <t xml:space="preserve">      The temps were still in the 80s late in the day but definitely cooler along the lake. My room was hot but I</t>
  </si>
  <si>
    <t xml:space="preserve">      also had a fan!</t>
  </si>
  <si>
    <r>
      <t xml:space="preserve">      Some great photos of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="http://hollandlakelodge.com//"</t>
    </r>
    <r>
      <rPr>
        <sz val="9.8000000000000007"/>
        <color rgb="FF000000"/>
        <rFont val="Consolas"/>
        <family val="3"/>
      </rPr>
      <t>&gt;Holland Lake&lt;/</t>
    </r>
    <r>
      <rPr>
        <b/>
        <sz val="9.8000000000000007"/>
        <color rgb="FF000080"/>
        <rFont val="Consolas"/>
        <family val="3"/>
      </rPr>
      <t>a</t>
    </r>
    <r>
      <rPr>
        <sz val="9.8000000000000007"/>
        <color rgb="FF000000"/>
        <rFont val="Consolas"/>
        <family val="3"/>
      </rPr>
      <t>&gt; on the web site.</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</si>
  <si>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="../img/tourdivide/day08/day08pic14.JPG"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</si>
  <si>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June 17 - Holland Lake to Ovando</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</si>
  <si>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="tourdivide07.html"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</si>
  <si>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="tourdivide09.html"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</si>
  <si>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8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</si>
  <si>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Day09"</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</si>
  <si>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Day09&lt;/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</si>
  <si>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&gt;Richmond Peak&lt;/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</si>
  <si>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="../elev/20150617googearth.jpg"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</si>
  <si>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/.blog-sidebar --&gt;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</si>
  <si>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</si>
  <si>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="../elev/20150617summ.png"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height</t>
    </r>
    <r>
      <rPr>
        <sz val="9.8000000000000007"/>
        <color rgb="FF000000"/>
        <rFont val="Consolas"/>
        <family val="3"/>
      </rPr>
      <t>:</t>
    </r>
    <r>
      <rPr>
        <sz val="9.8000000000000007"/>
        <color rgb="FF0000FF"/>
        <rFont val="Consolas"/>
        <family val="3"/>
      </rPr>
      <t>500</t>
    </r>
    <r>
      <rPr>
        <b/>
        <sz val="9.8000000000000007"/>
        <color rgb="FF008000"/>
        <rFont val="Consolas"/>
        <family val="3"/>
      </rPr>
      <t>px"</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</si>
  <si>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="../elev/20150617elev.png"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</si>
  <si>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picture</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</si>
  <si>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Started to get steep after about 13 miles as we circled the mountain and then circled back. Gained almost</t>
    </r>
  </si>
  <si>
    <t xml:space="preserve">     2,800 feet.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</si>
  <si>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="../img/tourdivide/day09/day09pic09.JPG"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</si>
  <si>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I really was going so slow it semed that the butterflys were keeping up with me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</si>
  <si>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="../img/tourdivide/day09/day09jzob65tweet0617.jpg"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="75%"</t>
    </r>
    <r>
      <rPr>
        <sz val="9.8000000000000007"/>
        <color rgb="FF000000"/>
        <rFont val="Consolas"/>
        <family val="3"/>
      </rPr>
      <t>&gt;</t>
    </r>
  </si>
  <si>
    <r>
      <t xml:space="preserve">    &lt;</t>
    </r>
    <r>
      <rPr>
        <b/>
        <sz val="9.8000000000000007"/>
        <color rgb="FF000080"/>
        <rFont val="Consolas"/>
        <family val="3"/>
      </rPr>
      <t xml:space="preserve">blockquote </t>
    </r>
    <r>
      <rPr>
        <b/>
        <sz val="9.8000000000000007"/>
        <color rgb="FF0000FF"/>
        <rFont val="Consolas"/>
        <family val="3"/>
      </rPr>
      <t>class</t>
    </r>
    <r>
      <rPr>
        <b/>
        <sz val="9.8000000000000007"/>
        <color rgb="FF008000"/>
        <rFont val="Consolas"/>
        <family val="3"/>
      </rPr>
      <t xml:space="preserve">="twitter-tweet" </t>
    </r>
    <r>
      <rPr>
        <b/>
        <sz val="9.8000000000000007"/>
        <color rgb="FF0000FF"/>
        <rFont val="Consolas"/>
        <family val="3"/>
      </rPr>
      <t>lang</t>
    </r>
    <r>
      <rPr>
        <b/>
        <sz val="9.8000000000000007"/>
        <color rgb="FF008000"/>
        <rFont val="Consolas"/>
        <family val="3"/>
      </rPr>
      <t>="en"</t>
    </r>
    <r>
      <rPr>
        <sz val="9.8000000000000007"/>
        <color rgb="FF000000"/>
        <rFont val="Consolas"/>
        <family val="3"/>
      </rPr>
      <t>&gt;&lt;</t>
    </r>
    <r>
      <rPr>
        <b/>
        <sz val="9.8000000000000007"/>
        <color rgb="FF000080"/>
        <rFont val="Consolas"/>
        <family val="3"/>
      </rPr>
      <t xml:space="preserve">p </t>
    </r>
    <r>
      <rPr>
        <b/>
        <sz val="9.8000000000000007"/>
        <color rgb="FF0000FF"/>
        <rFont val="Consolas"/>
        <family val="3"/>
      </rPr>
      <t>lang</t>
    </r>
    <r>
      <rPr>
        <b/>
        <sz val="9.8000000000000007"/>
        <color rgb="FF008000"/>
        <rFont val="Consolas"/>
        <family val="3"/>
      </rPr>
      <t xml:space="preserve">="und" </t>
    </r>
    <r>
      <rPr>
        <b/>
        <sz val="9.8000000000000007"/>
        <color rgb="FF0000FF"/>
        <rFont val="Consolas"/>
        <family val="3"/>
      </rPr>
      <t>dir</t>
    </r>
    <r>
      <rPr>
        <b/>
        <sz val="9.8000000000000007"/>
        <color rgb="FF008000"/>
        <rFont val="Consolas"/>
        <family val="3"/>
      </rPr>
      <t>="ltr"</t>
    </r>
    <r>
      <rPr>
        <sz val="9.8000000000000007"/>
        <color rgb="FF000000"/>
        <rFont val="Consolas"/>
        <family val="3"/>
      </rPr>
      <t>&gt;See!!!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="http://t.co/lFsWUPix2q"</t>
    </r>
    <r>
      <rPr>
        <sz val="9.8000000000000007"/>
        <color rgb="FF000000"/>
        <rFont val="Consolas"/>
        <family val="3"/>
      </rPr>
      <t>&gt;pic.twitter.com/lFsWUPix2q&lt;/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</si>
  <si>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r>
      <rPr>
        <b/>
        <sz val="9.8000000000000007"/>
        <color rgb="FF0000FF"/>
        <rFont val="Consolas"/>
        <family val="3"/>
      </rPr>
      <t xml:space="preserve">&amp;mdash; </t>
    </r>
    <r>
      <rPr>
        <sz val="9.8000000000000007"/>
        <color rgb="FF000000"/>
        <rFont val="Consolas"/>
        <family val="3"/>
      </rPr>
      <t>Jim OBrien (@jzob65)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="https://twitter.com/jzob65/status/611366824022642689"</t>
    </r>
    <r>
      <rPr>
        <sz val="9.8000000000000007"/>
        <color rgb="FF000000"/>
        <rFont val="Consolas"/>
        <family val="3"/>
      </rPr>
      <t>&gt;July 18,</t>
    </r>
  </si>
  <si>
    <r>
      <t xml:space="preserve">     2015&lt;/</t>
    </r>
    <r>
      <rPr>
        <b/>
        <sz val="9.8000000000000007"/>
        <color rgb="FF000080"/>
        <rFont val="Consolas"/>
        <family val="3"/>
      </rPr>
      <t>a</t>
    </r>
    <r>
      <rPr>
        <sz val="9.8000000000000007"/>
        <color rgb="FF000000"/>
        <rFont val="Consolas"/>
        <family val="3"/>
      </rPr>
      <t>&gt;&lt;/</t>
    </r>
    <r>
      <rPr>
        <b/>
        <sz val="9.8000000000000007"/>
        <color rgb="FF000080"/>
        <rFont val="Consolas"/>
        <family val="3"/>
      </rPr>
      <t>blockquote</t>
    </r>
    <r>
      <rPr>
        <sz val="9.8000000000000007"/>
        <color rgb="FF000000"/>
        <rFont val="Consolas"/>
        <family val="3"/>
      </rPr>
      <t>&gt;</t>
    </r>
  </si>
  <si>
    <r>
      <t xml:space="preserve">    &lt;</t>
    </r>
    <r>
      <rPr>
        <b/>
        <sz val="9.8000000000000007"/>
        <color rgb="FF000080"/>
        <rFont val="Consolas"/>
        <family val="3"/>
      </rPr>
      <t xml:space="preserve">script </t>
    </r>
    <r>
      <rPr>
        <b/>
        <sz val="9.8000000000000007"/>
        <color rgb="FF0000FF"/>
        <rFont val="Consolas"/>
        <family val="3"/>
      </rPr>
      <t>async src</t>
    </r>
    <r>
      <rPr>
        <b/>
        <sz val="9.8000000000000007"/>
        <color rgb="FF008000"/>
        <rFont val="Consolas"/>
        <family val="3"/>
      </rPr>
      <t xml:space="preserve">="//platform.twitter.com/widgets.js" </t>
    </r>
    <r>
      <rPr>
        <b/>
        <sz val="9.8000000000000007"/>
        <color rgb="FF0000FF"/>
        <rFont val="Consolas"/>
        <family val="3"/>
      </rPr>
      <t>charset</t>
    </r>
    <r>
      <rPr>
        <b/>
        <sz val="9.8000000000000007"/>
        <color rgb="FF008000"/>
        <rFont val="Consolas"/>
        <family val="3"/>
      </rPr>
      <t>="utf-8"</t>
    </r>
    <r>
      <rPr>
        <sz val="9.8000000000000007"/>
        <color rgb="FF000000"/>
        <rFont val="Consolas"/>
        <family val="3"/>
      </rPr>
      <t>&gt;&lt;/</t>
    </r>
    <r>
      <rPr>
        <b/>
        <sz val="9.8000000000000007"/>
        <color rgb="FF000080"/>
        <rFont val="Consolas"/>
        <family val="3"/>
      </rPr>
      <t>script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</si>
  <si>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&gt;Richmond Peak traverse&lt;/</t>
    </r>
    <r>
      <rPr>
        <b/>
        <sz val="9.8000000000000007"/>
        <color rgb="FF000080"/>
        <rFont val="Consolas"/>
        <family val="3"/>
      </rPr>
      <t>h2</t>
    </r>
    <r>
      <rPr>
        <sz val="9.8000000000000007"/>
        <color rgb="FF000000"/>
        <rFont val="Consolas"/>
        <family val="3"/>
      </rPr>
      <t>&gt;</t>
    </r>
  </si>
  <si>
    <t xml:space="preserve">     The map said you had real nice views looking north and south so when I finally got around to seeing the</t>
  </si>
  <si>
    <t xml:space="preserve">     views to the south I was able to stop for a snack and take some pictures.</t>
  </si>
  <si>
    <t xml:space="preserve">     I had only seen two riders during the day. A former winner, Billy Rice on a tandum with his daughter</t>
  </si>
  <si>
    <t xml:space="preserve">     and a really big guy, Tim Glover, riding a fat bike.</t>
  </si>
  <si>
    <t xml:space="preserve">     I had seen him the previous day at Holland Lake. He had inspired me since there were many times when I said</t>
  </si>
  <si>
    <t xml:space="preserve">     "if he can do this I can do this".</t>
  </si>
  <si>
    <t xml:space="preserve">     Billy Rice and his daughter almost ran over my bike when I had stopped for lunch. . Tim would save me later</t>
  </si>
  <si>
    <t xml:space="preserve">     that day.</t>
  </si>
  <si>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="col-sm-12 blog-post"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</si>
  <si>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</si>
  <si>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</si>
  <si>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I felt like I had circled the mountain a couple of times and the switchbacks really did cover the same</t>
    </r>
  </si>
  <si>
    <r>
      <t xml:space="preserve">     ground a few times.&lt;/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</si>
  <si>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</si>
  <si>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Once I reached the top I had a chance to ride the single track along the edge of the world.</t>
  </si>
  <si>
    <t xml:space="preserve">     Many places had trees growing up to protect you from going over but sometimes the trail was two</t>
  </si>
  <si>
    <t xml:space="preserve">     feet wide and then dropped 100s of feet just over the side.</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</si>
  <si>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&gt;Riding on the edge&lt;/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</si>
  <si>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="col-sm-6"</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</si>
  <si>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="../img/tourdivide/day09/day09pic12.JPG"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</si>
  <si>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="../img/tourdivide/day09/day09pic13.JPG"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</si>
  <si>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&gt;It's hard to see the drop</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</si>
  <si>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</si>
  <si>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</si>
  <si>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&gt;The view looking south from ...</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</si>
  <si>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="../img/tourdivide/day09/day09pic14.JPG"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</si>
  <si>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 my lunch spot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</si>
  <si>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="../img/tourdivide/day09/day09pic15.JPG"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</si>
  <si>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&gt;Not so many pictures from here to Ovando. The ride down from Richmond Peak was fast and rough.</t>
    </r>
  </si>
  <si>
    <t xml:space="preserve">     When I reached the bottom of the trail from Richmond I stopped to take a picture. Looking down I saw my</t>
  </si>
  <si>
    <t xml:space="preserve">     camera case still attached via my two different points but the case was empty. So this pretty much ruined the</t>
  </si>
  <si>
    <t xml:space="preserve">     rest of my afternoon.</t>
  </si>
  <si>
    <t xml:space="preserve">     I had taken many cool photos of an interesting traverse and now those picutres were lost.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</si>
  <si>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="../img/tourdivide/day09/day09pic03.JPG"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</si>
  <si>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&gt;Ovando, MT&lt;/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</si>
  <si>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 I rode into Ovando and Kathy at the Blackfoot Angler knew who I was and stopped to take the picture below.</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</si>
  <si>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="../img/tourdivide/day09/day09NJovando.jpg"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</si>
  <si>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="../img/tourdivide/day09/day09OvandoBlackfootAngler.jpg" </t>
    </r>
    <r>
      <rPr>
        <b/>
        <sz val="9.8000000000000007"/>
        <color rgb="FF0000FF"/>
        <rFont val="Consolas"/>
        <family val="3"/>
      </rPr>
      <t>alt</t>
    </r>
    <r>
      <rPr>
        <b/>
        <sz val="9.8000000000000007"/>
        <color rgb="FF008000"/>
        <rFont val="Consolas"/>
        <family val="3"/>
      </rPr>
      <t>=""</t>
    </r>
  </si>
  <si>
    <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</si>
  <si>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="http://www.blackfootangler.com"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&gt;Blackfoot Angler</t>
    </r>
  </si>
  <si>
    <r>
      <t xml:space="preserve">    &lt;</t>
    </r>
    <r>
      <rPr>
        <b/>
        <sz val="9.8000000000000007"/>
        <color rgb="FF000080"/>
        <rFont val="Consolas"/>
        <family val="3"/>
      </rPr>
      <t>br</t>
    </r>
    <r>
      <rPr>
        <sz val="9.8000000000000007"/>
        <color rgb="FF000000"/>
        <rFont val="Consolas"/>
        <family val="3"/>
      </rPr>
      <t>&gt;</t>
    </r>
  </si>
  <si>
    <t xml:space="preserve">     The town itself is very small but great for Tour riders. I picked up a number of supplies in the Blackfoot</t>
  </si>
  <si>
    <t xml:space="preserve">     Angler including two pairs of polorized sunglasses. I was sure I needed two since I had been without my</t>
  </si>
  <si>
    <t xml:space="preserve">     second pair of sunglasses</t>
  </si>
  <si>
    <r>
      <t xml:space="preserve">     for two days having lost the first pair on Day 1 or 2.&lt;</t>
    </r>
    <r>
      <rPr>
        <b/>
        <sz val="9.8000000000000007"/>
        <color rgb="FF000080"/>
        <rFont val="Consolas"/>
        <family val="3"/>
      </rPr>
      <t>br</t>
    </r>
    <r>
      <rPr>
        <sz val="9.8000000000000007"/>
        <color rgb="FF000000"/>
        <rFont val="Consolas"/>
        <family val="3"/>
      </rPr>
      <t>&gt;</t>
    </r>
  </si>
  <si>
    <r>
      <t xml:space="preserve">     &lt;</t>
    </r>
    <r>
      <rPr>
        <b/>
        <sz val="9.8000000000000007"/>
        <color rgb="FF000080"/>
        <rFont val="Consolas"/>
        <family val="3"/>
      </rPr>
      <t>b</t>
    </r>
    <r>
      <rPr>
        <sz val="9.8000000000000007"/>
        <color rgb="FF000000"/>
        <rFont val="Consolas"/>
        <family val="3"/>
      </rPr>
      <t>&gt; It turns out the single pair of $20 sunglasses lasted to the end of the ride.&lt;/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</si>
  <si>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</si>
  <si>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="../img/tourdivide/day09/day09pic16.JPG"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</si>
  <si>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</si>
  <si>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="http://www.ovandomontana.net/businesses/bcc.php"</t>
    </r>
    <r>
      <rPr>
        <sz val="9.8000000000000007"/>
        <color rgb="FF000000"/>
        <rFont val="Consolas"/>
        <family val="3"/>
      </rPr>
      <t>&gt;Blackfoot Inn &amp; Commerce&lt;/</t>
    </r>
    <r>
      <rPr>
        <b/>
        <sz val="9.8000000000000007"/>
        <color rgb="FF000080"/>
        <rFont val="Consolas"/>
        <family val="3"/>
      </rPr>
      <t>a</t>
    </r>
    <r>
      <rPr>
        <sz val="9.8000000000000007"/>
        <color rgb="FF000000"/>
        <rFont val="Consolas"/>
        <family val="3"/>
      </rPr>
      <t>&gt;</t>
    </r>
  </si>
  <si>
    <t xml:space="preserve">       had rooms above the store and were great hosts. There were about 6 people staying there and a number</t>
  </si>
  <si>
    <t xml:space="preserve">       of others were staying in the park across the street where there was an old jail and a teepee.</t>
  </si>
  <si>
    <t xml:space="preserve">       They let us all park our bikes in the hotel living room and wash our clothes for free.</t>
  </si>
  <si>
    <t xml:space="preserve">       They even stayed open late serving ice cream.</t>
  </si>
  <si>
    <r>
      <t xml:space="preserve">      &lt;</t>
    </r>
    <r>
      <rPr>
        <b/>
        <sz val="9.8000000000000007"/>
        <color rgb="FF000080"/>
        <rFont val="Consolas"/>
        <family val="3"/>
      </rPr>
      <t>p</t>
    </r>
    <r>
      <rPr>
        <sz val="9.8000000000000007"/>
        <color rgb="FF000000"/>
        <rFont val="Consolas"/>
        <family val="3"/>
      </rPr>
      <t>&gt;&lt;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="http://www.ovandomontana.net/businesses/trixis.php"</t>
    </r>
    <r>
      <rPr>
        <sz val="9.8000000000000007"/>
        <color rgb="FF000000"/>
        <rFont val="Consolas"/>
        <family val="3"/>
      </rPr>
      <t>&gt;Trixi's Antler Saloon&lt;/</t>
    </r>
    <r>
      <rPr>
        <b/>
        <sz val="9.8000000000000007"/>
        <color rgb="FF000080"/>
        <rFont val="Consolas"/>
        <family val="3"/>
      </rPr>
      <t>a</t>
    </r>
    <r>
      <rPr>
        <sz val="9.8000000000000007"/>
        <color rgb="FF000000"/>
        <rFont val="Consolas"/>
        <family val="3"/>
      </rPr>
      <t>&gt;</t>
    </r>
  </si>
  <si>
    <t xml:space="preserve">       had a great surf and turf which I ate along with quite a few other items. Many riders in bar got a meal</t>
  </si>
  <si>
    <t xml:space="preserve">       and rode on.</t>
  </si>
  <si>
    <t xml:space="preserve">       My day was complete. When I got back to the hotel Tim Glover was riding into town. Unbelievably he had</t>
  </si>
  <si>
    <t xml:space="preserve">       seem my camera as he was flying down from Richmond Peak and stopped, backtracked and picked it up.</t>
  </si>
  <si>
    <r>
      <t xml:space="preserve">       &lt;</t>
    </r>
    <r>
      <rPr>
        <b/>
        <sz val="9.8000000000000007"/>
        <color rgb="FF000080"/>
        <rFont val="Consolas"/>
        <family val="3"/>
      </rPr>
      <t>b</t>
    </r>
    <r>
      <rPr>
        <sz val="9.8000000000000007"/>
        <color rgb="FF000000"/>
        <rFont val="Consolas"/>
        <family val="3"/>
      </rPr>
      <t>&gt;Trail Magic!!!!&lt;/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</si>
  <si>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="../img/tourdivide/day09/day09pic04.JPG"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</si>
  <si>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="http://www.ovandomontana.net/businesses/trixis.php"</t>
    </r>
  </si>
  <si>
    <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&gt;Trixi's Antler Saloon</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</si>
  <si>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</si>
  <si>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</si>
  <si>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&gt;To go places and do things that I've never done before</t>
    </r>
  </si>
  <si>
    <t xml:space="preserve">     June 18 - Ovando to Priest Pass</t>
  </si>
  <si>
    <r>
      <t xml:space="preserve">    &lt;</t>
    </r>
    <r>
      <rPr>
        <b/>
        <sz val="9.8000000000000007"/>
        <color rgb="FF000080"/>
        <rFont val="Consolas"/>
        <family val="3"/>
      </rPr>
      <t xml:space="preserve">iframe </t>
    </r>
    <r>
      <rPr>
        <b/>
        <sz val="9.8000000000000007"/>
        <color rgb="FF0000FF"/>
        <rFont val="Consolas"/>
        <family val="3"/>
      </rPr>
      <t>src</t>
    </r>
    <r>
      <rPr>
        <b/>
        <sz val="9.8000000000000007"/>
        <color rgb="FF008000"/>
        <rFont val="Consolas"/>
        <family val="3"/>
      </rPr>
      <t xml:space="preserve">="https://www.google.com/maps/d/embed?mid=z16rO1nf9OsU.kQFVh1gMgHlU" </t>
    </r>
    <r>
      <rPr>
        <b/>
        <sz val="9.8000000000000007"/>
        <color rgb="FF0000FF"/>
        <rFont val="Consolas"/>
        <family val="3"/>
      </rPr>
      <t>width</t>
    </r>
    <r>
      <rPr>
        <b/>
        <sz val="9.8000000000000007"/>
        <color rgb="FF008000"/>
        <rFont val="Consolas"/>
        <family val="3"/>
      </rPr>
      <t>="640"</t>
    </r>
  </si>
  <si>
    <r>
      <t xml:space="preserve">            </t>
    </r>
    <r>
      <rPr>
        <b/>
        <sz val="9.8000000000000007"/>
        <color rgb="FF0000FF"/>
        <rFont val="Consolas"/>
        <family val="3"/>
      </rPr>
      <t>height</t>
    </r>
    <r>
      <rPr>
        <b/>
        <sz val="9.8000000000000007"/>
        <color rgb="FF008000"/>
        <rFont val="Consolas"/>
        <family val="3"/>
      </rPr>
      <t>="480"</t>
    </r>
    <r>
      <rPr>
        <sz val="9.8000000000000007"/>
        <color rgb="FF000000"/>
        <rFont val="Consolas"/>
        <family val="3"/>
      </rPr>
      <t>&gt;&lt;/</t>
    </r>
    <r>
      <rPr>
        <b/>
        <sz val="9.8000000000000007"/>
        <color rgb="FF000080"/>
        <rFont val="Consolas"/>
        <family val="3"/>
      </rPr>
      <t>iframe</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</si>
  <si>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="https://www.google.com/maps/d/embed?mid=z16rO1nf9OsU.kQFVh1gMgHlU&amp;usp=sharing"</t>
    </r>
    <r>
      <rPr>
        <sz val="9.8000000000000007"/>
        <color rgb="FF000000"/>
        <rFont val="Consolas"/>
        <family val="3"/>
      </rPr>
      <t>&gt;</t>
    </r>
  </si>
  <si>
    <r>
      <t xml:space="preserve">     . Photographs by Jim O'Brien&lt;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&gt;TD on Flickr&lt;/</t>
    </r>
    <r>
      <rPr>
        <b/>
        <sz val="9.8000000000000007"/>
        <color rgb="FF000080"/>
        <rFont val="Consolas"/>
        <family val="3"/>
      </rPr>
      <t>a</t>
    </r>
    <r>
      <rPr>
        <sz val="9.8000000000000007"/>
        <color rgb="FF000000"/>
        <rFont val="Consolas"/>
        <family val="3"/>
      </rPr>
      <t>&gt;.&lt;/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</si>
  <si>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/.blog-main --&gt;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</si>
  <si>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="tourdivide08.html"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</si>
  <si>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="tourdivide10.html"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</si>
  <si>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09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</si>
  <si>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Day10"</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</si>
  <si>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Day10&lt;/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</si>
  <si>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</si>
  <si>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</si>
  <si>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&gt;Leaving Ovando&lt;/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</si>
  <si>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</si>
  <si>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&gt;Ovando in the morning</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</si>
  <si>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="../elev/20150618summ.png"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</si>
  <si>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t>
    </r>
    <r>
      <rPr>
        <i/>
        <sz val="9.8000000000000007"/>
        <color rgb="FF808080"/>
        <rFont val="Consolas"/>
        <family val="3"/>
      </rPr>
      <t>&lt;!-- &lt;img class="img-responsive" src="elev/20150618elev.png" alt="" style="width:95%"&gt; --&gt;</t>
    </r>
  </si>
  <si>
    <r>
      <t xml:space="preserve">     </t>
    </r>
    <r>
      <rPr>
        <sz val="9.8000000000000007"/>
        <color rgb="FF000000"/>
        <rFont val="Consolas"/>
        <family val="3"/>
      </rPr>
      <t>&lt;/</t>
    </r>
    <r>
      <rPr>
        <b/>
        <sz val="9.8000000000000007"/>
        <color rgb="FF000080"/>
        <rFont val="Consolas"/>
        <family val="3"/>
      </rPr>
      <t>picture</t>
    </r>
    <r>
      <rPr>
        <sz val="9.8000000000000007"/>
        <color rgb="FF000000"/>
        <rFont val="Consolas"/>
        <family val="3"/>
      </rPr>
      <t>&gt;</t>
    </r>
  </si>
  <si>
    <t xml:space="preserve">      The first 17 miles traveled through some nice farms and wide open spaces.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</si>
  <si>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</si>
  <si>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I could see where I was headed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</si>
  <si>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</si>
  <si>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&gt;First - Huckleberry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</si>
  <si>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</si>
  <si>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</si>
  <si>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Huckleberry Pass had some very steep pitches and it was a combination of walking and riding over the next 6+</t>
  </si>
  <si>
    <t xml:space="preserve">      miles and 2+ hours to get to the top.</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</si>
  <si>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</si>
  <si>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&gt;Huckleberry Pass</t>
    </r>
  </si>
  <si>
    <r>
      <t xml:space="preserve">       &lt;</t>
    </r>
    <r>
      <rPr>
        <b/>
        <sz val="9.8000000000000007"/>
        <color rgb="FF000080"/>
        <rFont val="Consolas"/>
        <family val="3"/>
      </rPr>
      <t>p</t>
    </r>
    <r>
      <rPr>
        <sz val="9.8000000000000007"/>
        <color rgb="FF000000"/>
        <rFont val="Consolas"/>
        <family val="3"/>
      </rPr>
      <t>&gt;Not much to see up on Huckleberry Pass but the decent into Lincoln, MT was nice and easy and I stopped</t>
    </r>
  </si>
  <si>
    <t xml:space="preserve">        for lunch and resupply.</t>
  </si>
  <si>
    <t xml:space="preserve">        It was already past noon and the rest of the day was not looking any better</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</si>
  <si>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&gt;Second Pass - even more fun&lt;/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</si>
  <si>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="../elev/20150618lincoln_helena.JPG"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75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</si>
  <si>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="col-sm-7"</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</si>
  <si>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</si>
  <si>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&gt;CD crossing</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</si>
  <si>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="col-sm-5"</t>
    </r>
    <r>
      <rPr>
        <sz val="9.8000000000000007"/>
        <color rgb="FF000000"/>
        <rFont val="Consolas"/>
        <family val="3"/>
      </rPr>
      <t>&gt;</t>
    </r>
  </si>
  <si>
    <t xml:space="preserve">        This second climb took forever. This was not a "headline" mountain pass but it definitely got to many</t>
  </si>
  <si>
    <t xml:space="preserve">        of the people who were riding. The guy who found my camera, Tim Horton, got through the day but quit</t>
  </si>
  <si>
    <t xml:space="preserve">        the following day when he got to Helena.</t>
  </si>
  <si>
    <t xml:space="preserve">        He lasted one more day than last year which was lucky for me since he found my camera the day before.</t>
  </si>
  <si>
    <t xml:space="preserve">        His friend, Darren, was waiting for him at this CD crossing and took the picture. If I dont have</t>
  </si>
  <si>
    <r>
      <t xml:space="preserve">        my helmet on it means I've been walking for a &lt;</t>
    </r>
    <r>
      <rPr>
        <b/>
        <sz val="9.8000000000000007"/>
        <color rgb="FF000080"/>
        <rFont val="Consolas"/>
        <family val="3"/>
      </rPr>
      <t>b</t>
    </r>
    <r>
      <rPr>
        <sz val="9.8000000000000007"/>
        <color rgb="FF000000"/>
        <rFont val="Consolas"/>
        <family val="3"/>
      </rPr>
      <t>&gt;really long time&lt;/</t>
    </r>
    <r>
      <rPr>
        <b/>
        <sz val="9.8000000000000007"/>
        <color rgb="FF000080"/>
        <rFont val="Consolas"/>
        <family val="3"/>
      </rPr>
      <t>b</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</si>
  <si>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&gt;Priest Pass road&lt;/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</si>
  <si>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="80%"</t>
    </r>
    <r>
      <rPr>
        <sz val="9.8000000000000007"/>
        <color rgb="FF000000"/>
        <rFont val="Consolas"/>
        <family val="3"/>
      </rPr>
      <t>&gt;</t>
    </r>
  </si>
  <si>
    <t xml:space="preserve">      When I got to the bottom of the road leading up to Priest Pass it was already 7:30PM and I had been looking</t>
  </si>
  <si>
    <t xml:space="preserve">      for a place to camp.</t>
  </si>
  <si>
    <t xml:space="preserve">      I had an Italian rider who passed me about a mile up the road and a couple miles from the top. He was</t>
  </si>
  <si>
    <t xml:space="preserve">      committed</t>
  </si>
  <si>
    <t xml:space="preserve">      to getting to Helena even though he would be doing a 15 mile downhill in the dark.</t>
  </si>
  <si>
    <t xml:space="preserve">      I walked and he road for at least 30 minutes and he was less than 1/4 mile ahead of me.</t>
  </si>
  <si>
    <t xml:space="preserve">      I decided I would go as far as I could and put up my tent. I was almost 100% walking at this point having</t>
  </si>
  <si>
    <t xml:space="preserve">      been beaten down by the day.</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</si>
  <si>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&gt;Priest Pass sunset&lt;/</t>
    </r>
    <r>
      <rPr>
        <b/>
        <sz val="9.8000000000000007"/>
        <color rgb="FF000080"/>
        <rFont val="Consolas"/>
        <family val="3"/>
      </rPr>
      <t>h2</t>
    </r>
    <r>
      <rPr>
        <sz val="9.8000000000000007"/>
        <color rgb="FF000000"/>
        <rFont val="Consolas"/>
        <family val="3"/>
      </rPr>
      <t>&gt;</t>
    </r>
  </si>
  <si>
    <t xml:space="preserve">      I had been told earlier that if there are cows there won't be grizzlies. This made sense so as I went</t>
  </si>
  <si>
    <t xml:space="preserve">      to sleep in my tent my biggest fear was getting run over by cattle.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</si>
  <si>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="../img/tourdivide/day10/day10pic00.jpg"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</si>
  <si>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 Great sunset around 10:30PM and amazing stars that night</t>
    </r>
  </si>
  <si>
    <t xml:space="preserve">                            in my tent among the cows and cow pies.</t>
  </si>
  <si>
    <r>
      <t xml:space="preserve">     &lt;</t>
    </r>
    <r>
      <rPr>
        <b/>
        <sz val="9.8000000000000007"/>
        <color rgb="FF000080"/>
        <rFont val="Consolas"/>
        <family val="3"/>
      </rPr>
      <t xml:space="preserve">iframe </t>
    </r>
    <r>
      <rPr>
        <b/>
        <sz val="9.8000000000000007"/>
        <color rgb="FF0000FF"/>
        <rFont val="Consolas"/>
        <family val="3"/>
      </rPr>
      <t>src</t>
    </r>
    <r>
      <rPr>
        <b/>
        <sz val="9.8000000000000007"/>
        <color rgb="FF008000"/>
        <rFont val="Consolas"/>
        <family val="3"/>
      </rPr>
      <t xml:space="preserve">="https://www.google.com/maps/d/embed?mid=z16rO1nf9OsU.k-PI-urLMEWE" </t>
    </r>
    <r>
      <rPr>
        <b/>
        <sz val="9.8000000000000007"/>
        <color rgb="FF0000FF"/>
        <rFont val="Consolas"/>
        <family val="3"/>
      </rPr>
      <t>width</t>
    </r>
    <r>
      <rPr>
        <b/>
        <sz val="9.8000000000000007"/>
        <color rgb="FF008000"/>
        <rFont val="Consolas"/>
        <family val="3"/>
      </rPr>
      <t>="640"</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</si>
  <si>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="tourdivide09.html"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</si>
  <si>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="tourdivide11.html"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</si>
  <si>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10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</si>
  <si>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Day11"</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</si>
  <si>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Day11&lt;/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</si>
  <si>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&gt;Priest Pass in the morning&lt;/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</si>
  <si>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="../img/tourdivide/day11/day11pic01.JPG"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</si>
  <si>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&gt;On top of Priest Pass</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</si>
  <si>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="../elev/20150619summ.png"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75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</si>
  <si>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</si>
  <si>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="../img/tourdivide/day11/day11pic03.JPG"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</si>
  <si>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I had breakfast with my new friend Kelly Elder after my night on Priest Pass.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</si>
  <si>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="../img/tourdivide/day11/day11pic01Steves.jpg"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</si>
  <si>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="http://www.stevescafe.com/"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&gt;Steve's Cafe</t>
    </r>
  </si>
  <si>
    <t xml:space="preserve">      I happened to meet Kelly while discussing Helena breakfast options with an older gent on N. Benton</t>
  </si>
  <si>
    <t xml:space="preserve">      Ave on the edge of Helena. Both agreed that Steve's was the place to go. Kelly directed me to Steve's</t>
  </si>
  <si>
    <t xml:space="preserve">      and we ended up having breakfast together.</t>
  </si>
  <si>
    <t xml:space="preserve">      I ended up spending the day and night at his home on N Davis Street. Great Trail Magic on a day when it was</t>
  </si>
  <si>
    <t xml:space="preserve">      much needed.</t>
  </si>
  <si>
    <t xml:space="preserve">      We went to breakfast (stuffed French Toast and another full breakfast) and then to his house.</t>
  </si>
  <si>
    <t xml:space="preserve">      Kelly also solved a number of other issues by driving me out to the airport road so I could pick up my FedEx</t>
  </si>
  <si>
    <t xml:space="preserve">      package.</t>
  </si>
  <si>
    <t xml:space="preserve">      This contained the all important Rear Derailuer Hanger (thanks Ed, Amanda and Thomas).</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</si>
  <si>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</si>
  <si>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="http://www.bigskybikes.com.com/"</t>
    </r>
    <r>
      <rPr>
        <sz val="9.8000000000000007"/>
        <color rgb="FF000000"/>
        <rFont val="Consolas"/>
        <family val="3"/>
      </rPr>
      <t>&gt;Big Sky Bikes - bigskybikes.com</t>
    </r>
  </si>
  <si>
    <t xml:space="preserve">      Notube heaven. Brought my tires in here and removed the tubes I had used since BC. Never had to</t>
  </si>
  <si>
    <t xml:space="preserve">      touch my tires again. Took them a couple hours but they got it done.</t>
  </si>
  <si>
    <t xml:space="preserve">      Ended my rest day with a nice dinner at "On Broadway"</t>
  </si>
  <si>
    <t xml:space="preserve">      June 19 Priest Pass to Helena at sunrise and then a day off the bike and some rest.</t>
  </si>
  <si>
    <r>
      <t xml:space="preserve">    </t>
    </r>
    <r>
      <rPr>
        <sz val="9.8000000000000007"/>
        <color rgb="FF000000"/>
        <rFont val="Consolas"/>
        <family val="3"/>
      </rPr>
      <t>&lt;</t>
    </r>
    <r>
      <rPr>
        <b/>
        <sz val="9.8000000000000007"/>
        <color rgb="FF000080"/>
        <rFont val="Consolas"/>
        <family val="3"/>
      </rPr>
      <t xml:space="preserve">iframe </t>
    </r>
    <r>
      <rPr>
        <b/>
        <sz val="9.8000000000000007"/>
        <color rgb="FF0000FF"/>
        <rFont val="Consolas"/>
        <family val="3"/>
      </rPr>
      <t>src</t>
    </r>
    <r>
      <rPr>
        <b/>
        <sz val="9.8000000000000007"/>
        <color rgb="FF008000"/>
        <rFont val="Consolas"/>
        <family val="3"/>
      </rPr>
      <t xml:space="preserve">="https://www.google.com/maps/d/embed?mid=z16rO1nf9OsU.kQFVh1gMgHlU" </t>
    </r>
    <r>
      <rPr>
        <b/>
        <sz val="9.8000000000000007"/>
        <color rgb="FF0000FF"/>
        <rFont val="Consolas"/>
        <family val="3"/>
      </rPr>
      <t>width</t>
    </r>
    <r>
      <rPr>
        <b/>
        <sz val="9.8000000000000007"/>
        <color rgb="FF008000"/>
        <rFont val="Consolas"/>
        <family val="3"/>
      </rPr>
      <t>="640"</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</si>
  <si>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="tourdivide10.html"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</si>
  <si>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="tourdivide12.html"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</si>
  <si>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11 of 36)&lt;/</t>
    </r>
    <r>
      <rPr>
        <b/>
        <sz val="9.8000000000000007"/>
        <color rgb="FF000080"/>
        <rFont val="Consolas"/>
        <family val="3"/>
      </rPr>
      <t>NOBR</t>
    </r>
    <r>
      <rPr>
        <sz val="9.8000000000000007"/>
        <color rgb="FF000000"/>
        <rFont val="Consolas"/>
        <family val="3"/>
      </rPr>
      <t>&gt;</t>
    </r>
  </si>
  <si>
    <r>
      <t>&lt;</t>
    </r>
    <r>
      <rPr>
        <b/>
        <sz val="9.8000000000000007"/>
        <color rgb="FF000080"/>
        <rFont val="Consolas"/>
        <family val="3"/>
      </rPr>
      <t xml:space="preserve">html </t>
    </r>
    <r>
      <rPr>
        <b/>
        <sz val="9.8000000000000007"/>
        <color rgb="FF0000FF"/>
        <rFont val="Consolas"/>
        <family val="3"/>
      </rPr>
      <t>lang</t>
    </r>
    <r>
      <rPr>
        <b/>
        <sz val="9.8000000000000007"/>
        <color rgb="FF008000"/>
        <rFont val="Consolas"/>
        <family val="3"/>
      </rPr>
      <t xml:space="preserve">="en" </t>
    </r>
    <r>
      <rPr>
        <b/>
        <sz val="9.8000000000000007"/>
        <color rgb="FF0000FF"/>
        <rFont val="Consolas"/>
        <family val="3"/>
      </rPr>
      <t>xmlns</t>
    </r>
    <r>
      <rPr>
        <b/>
        <sz val="9.8000000000000007"/>
        <color rgb="FF008000"/>
        <rFont val="Consolas"/>
        <family val="3"/>
      </rPr>
      <t>="http://www.w3.org/1999/html"</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</si>
  <si>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</si>
  <si>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="author" </t>
    </r>
    <r>
      <rPr>
        <b/>
        <sz val="9.8000000000000007"/>
        <color rgb="FF0000FF"/>
        <rFont val="Consolas"/>
        <family val="3"/>
      </rPr>
      <t>content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</si>
  <si>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&gt;Alternative routes&lt;/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</si>
  <si>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</si>
  <si>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&gt;caption</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</si>
  <si>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="../elev/20150621summ.png"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75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</si>
  <si>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="../elev/20150621elev.png"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</si>
  <si>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giant mine in the hills behind Butte. I didn't notice them until I got to this vantage point since I had</t>
  </si>
  <si>
    <t xml:space="preserve">      approached the city from the north and traveled around the mines and slag pits.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</si>
  <si>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</si>
  <si>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This pass took you out of the Butte water shed and over the continental divide.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</si>
  <si>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</si>
  <si>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&gt;Another Divide Crossing&lt;/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</si>
  <si>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</si>
  <si>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</si>
  <si>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</si>
  <si>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</si>
  <si>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&gt;Lava or Glacier formations</t>
    </r>
  </si>
  <si>
    <t xml:space="preserve">        The top of this pass went on for a while. There was a campground on the top and before</t>
  </si>
  <si>
    <t xml:space="preserve">        the trail dropped off I stopped for lunch and a break.</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</si>
  <si>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="../img/tourdivide/day13/day13pic07.JPG"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</si>
  <si>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The trail then started down and became a white knuckle adventure all the way down to the interstate highway.</t>
  </si>
  <si>
    <t xml:space="preserve">      Some very steep downhills with just enough curves to make your hands numb while you tried to hold onto your</t>
  </si>
  <si>
    <t xml:space="preserve">      brakes. I heard later in the day I rider had fallen and broken their collar bone.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</si>
  <si>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="../img/tourdivide/day13/day13pic08.JPG"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</si>
  <si>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="../img/tourdivide/day13/day13pic09.JPG"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</si>
  <si>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&gt;Taking the easy way to "Jim's Tour Divide"&lt;/</t>
    </r>
    <r>
      <rPr>
        <b/>
        <sz val="9.8000000000000007"/>
        <color rgb="FF000080"/>
        <rFont val="Consolas"/>
        <family val="3"/>
      </rPr>
      <t>h2</t>
    </r>
    <r>
      <rPr>
        <sz val="9.8000000000000007"/>
        <color rgb="FF000000"/>
        <rFont val="Consolas"/>
        <family val="3"/>
      </rPr>
      <t>&gt;</t>
    </r>
  </si>
  <si>
    <t xml:space="preserve">      This was where I took my first "alternate". Up until this point I had followed the TD race path 100%</t>
  </si>
  <si>
    <t xml:space="preserve">      over some pretty rough terrain. Coming up on the race map was a place called Fleecer Ridge which supposedly</t>
  </si>
  <si>
    <t xml:space="preserve">      had a 18% downhill grade. On the ACA maps there was an alternate route along two state highways. These</t>
  </si>
  <si>
    <t xml:space="preserve">      looked</t>
  </si>
  <si>
    <t xml:space="preserve">      pretty easy so I decided to take this eighteen mile alternate instead of about 23 over the mountain.</t>
  </si>
  <si>
    <r>
      <t xml:space="preserve">       &lt;</t>
    </r>
    <r>
      <rPr>
        <b/>
        <sz val="9.8000000000000007"/>
        <color rgb="FF000080"/>
        <rFont val="Consolas"/>
        <family val="3"/>
      </rPr>
      <t>p</t>
    </r>
    <r>
      <rPr>
        <sz val="9.8000000000000007"/>
        <color rgb="FF000000"/>
        <rFont val="Consolas"/>
        <family val="3"/>
      </rPr>
      <t>&gt;&lt;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="http://www.bigholetrout.com"</t>
    </r>
    <r>
      <rPr>
        <sz val="9.8000000000000007"/>
        <color rgb="FF000000"/>
        <rFont val="Consolas"/>
        <family val="3"/>
      </rPr>
      <t>&gt;Great Divide Outfitters&lt;/</t>
    </r>
    <r>
      <rPr>
        <b/>
        <sz val="9.8000000000000007"/>
        <color rgb="FF000080"/>
        <rFont val="Consolas"/>
        <family val="3"/>
      </rPr>
      <t>a</t>
    </r>
    <r>
      <rPr>
        <sz val="9.8000000000000007"/>
        <color rgb="FF000000"/>
        <rFont val="Consolas"/>
        <family val="3"/>
      </rPr>
      <t>&gt;</t>
    </r>
  </si>
  <si>
    <t xml:space="preserve">        After following the I15 frontage road for 10 miles (I would take this road again during the end of my</t>
  </si>
  <si>
    <t xml:space="preserve">        ride into Lima).</t>
  </si>
  <si>
    <t xml:space="preserve">        When I turned onto Rt 47 I hadn't stopped for most the day. So mostly to get off the bike I stopped at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</si>
  <si>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="http://www.bigholetrout.com/"</t>
    </r>
    <r>
      <rPr>
        <sz val="9.8000000000000007"/>
        <color rgb="FF000000"/>
        <rFont val="Consolas"/>
        <family val="3"/>
      </rPr>
      <t>&gt;Great Divide Outfitters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</si>
  <si>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</si>
  <si>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</si>
  <si>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</si>
  <si>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="http://www.bigholetrout.com"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&gt;Great Divide Outfitters</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</si>
  <si>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="../img/tourdivide/day13/day13pic15.JPG"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</si>
  <si>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Stopped in the fly shop. Had a nice time talking with John and another local about the area.</t>
  </si>
  <si>
    <t xml:space="preserve">        I was looking for something to drink and John brought out his own milk and Hersey's chocolate syrup</t>
  </si>
  <si>
    <t xml:space="preserve">        so I could make some chocolate milk which fueled me into the wind on the ride up to Wise River.</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</si>
  <si>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="../img/tourdivide/day13/day13pic11.JPG"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</si>
  <si>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Mostly into the wind and trying to beat the rain coming with the wind. There were some of the first clouds</t>
  </si>
  <si>
    <t xml:space="preserve">      I had seen in Montana. I was happy when my garmin rejoined the official trail which meant I only had two</t>
  </si>
  <si>
    <t xml:space="preserve">      miles</t>
  </si>
  <si>
    <t xml:space="preserve">      to the Wise River Club.</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</si>
  <si>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="../img/tourdivide/day13/day13pic12.JPG"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</si>
  <si>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Passed these old buildings and the river meandered up with many fisherman and fishing camps along the way.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</si>
  <si>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="../img/tourdivide/day13/day13pic13.JPG"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</si>
  <si>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&gt;Wise River Club&lt;/</t>
    </r>
    <r>
      <rPr>
        <b/>
        <sz val="9.8000000000000007"/>
        <color rgb="FF000080"/>
        <rFont val="Consolas"/>
        <family val="3"/>
      </rPr>
      <t>h2</t>
    </r>
    <r>
      <rPr>
        <sz val="9.8000000000000007"/>
        <color rgb="FF000000"/>
        <rFont val="Consolas"/>
        <family val="3"/>
      </rPr>
      <t>&gt;</t>
    </r>
  </si>
  <si>
    <t xml:space="preserve">      I got a room for the night and had dinner with Mike from Washington whom I had last seen in Ovando. His tour</t>
  </si>
  <si>
    <t xml:space="preserve">      was done</t>
  </si>
  <si>
    <t xml:space="preserve">      after hurting his knee on the ride / walk down from Fleecer Ridge. He was getting a ride from the hotel</t>
  </si>
  <si>
    <t xml:space="preserve">      manager the next</t>
  </si>
  <si>
    <t xml:space="preserve">      day back to Butte so his wife could pick him up.</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</si>
  <si>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="../img/tourdivide/day13/day13pic14.JPG"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</si>
  <si>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="http://www.wiseriverclub.com"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&gt;Wise River Club</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</si>
  <si>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&gt;New Objective - Ride from Banff Alberta to across the Mexico border&lt;/</t>
    </r>
    <r>
      <rPr>
        <b/>
        <sz val="9.8000000000000007"/>
        <color rgb="FF000080"/>
        <rFont val="Consolas"/>
        <family val="3"/>
      </rPr>
      <t>h2</t>
    </r>
    <r>
      <rPr>
        <sz val="9.8000000000000007"/>
        <color rgb="FF000000"/>
        <rFont val="Consolas"/>
        <family val="3"/>
      </rPr>
      <t>&gt;</t>
    </r>
  </si>
  <si>
    <t xml:space="preserve">      I guess this was the goal all along. When I finally realized this it took a load off my mind. I had decided</t>
  </si>
  <si>
    <t xml:space="preserve">      I didn't need to stick rigidly to the Race Map. I would be leaving the safety of the purple line. I had to</t>
  </si>
  <si>
    <t xml:space="preserve">      find some</t>
  </si>
  <si>
    <t xml:space="preserve">      routes and take some chances without having all the details my maps and devises gave me.</t>
  </si>
  <si>
    <t xml:space="preserve">      Even the ACA maps don't give you much help off the path since the cue sheets cover much of the maps.</t>
  </si>
  <si>
    <t xml:space="preserve">      It allowed me to have more fun and make some time instead of slogging along through potentially really</t>
  </si>
  <si>
    <t xml:space="preserve">      muddy or steep sections. It also allowed me to slow down and not worry so much about where I was going to</t>
  </si>
  <si>
    <t xml:space="preserve">      get to the next day. In the days ahead I would venture off the main trail and see some really great sections</t>
  </si>
  <si>
    <t xml:space="preserve">      of the areas around the TD course. Generally I made it back to the route by the end of the day where I met</t>
  </si>
  <si>
    <t xml:space="preserve">      other riders.</t>
  </si>
  <si>
    <t xml:space="preserve">      After 13 days on the road and seeing numerous people quit the race I decided to follow a path of lesser</t>
  </si>
  <si>
    <t xml:space="preserve">      resistance while still trying to stay on the course as much as I could.</t>
  </si>
  <si>
    <t xml:space="preserve">      June 21 - 51 miles - Butte to Wise River, MT</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</si>
  <si>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="tourdivide12.html"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</si>
  <si>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="tourdivide14.html"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</si>
  <si>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
    </r>
    <r>
      <rPr>
        <sz val="9.8000000000000007"/>
        <color rgb="FF000000"/>
        <rFont val="Consolas"/>
        <family val="3"/>
      </rPr>
      <t>&gt;Last&lt;/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</si>
  <si>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13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</si>
  <si>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Day14"</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</si>
  <si>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Day14&lt;/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</si>
  <si>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&gt;Wise River Headwaters&lt;/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</si>
  <si>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</si>
  <si>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Wise River</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</si>
  <si>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="../elev/20150622summ.png"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</si>
  <si>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="../elev/20150622wiseriver_polaris.JPG"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</si>
  <si>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 was up early so saw a bit more wildlife along the Pioneer Mtn Scenic Byway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</si>
  <si>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</si>
  <si>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The scene didn't change much until I got up to the top of the meadows where things opened up for a while.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</si>
  <si>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</si>
  <si>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&gt;Great Clouds&lt;/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</si>
  <si>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="col-sm-10"</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</si>
  <si>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="../img/tourdivide/day14/day14pic07cr.jpg"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</si>
  <si>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 Grouchy Man</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</si>
  <si>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="col-sm-2"</t>
    </r>
    <r>
      <rPr>
        <sz val="9.8000000000000007"/>
        <color rgb="FF000000"/>
        <rFont val="Consolas"/>
        <family val="3"/>
      </rPr>
      <t>&gt;</t>
    </r>
  </si>
  <si>
    <t xml:space="preserve">        I didn't see it when taking the pictures but the clouds really did jump out at me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</si>
  <si>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="../img/tourdivide/day14/day14pic06cr.jpg"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</si>
  <si>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&gt;Ghostbusters</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</si>
  <si>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&gt;Pioneer Moutains&lt;/</t>
    </r>
    <r>
      <rPr>
        <b/>
        <sz val="9.8000000000000007"/>
        <color rgb="FF000080"/>
        <rFont val="Consolas"/>
        <family val="3"/>
      </rPr>
      <t>h2</t>
    </r>
    <r>
      <rPr>
        <sz val="9.8000000000000007"/>
        <color rgb="FF000000"/>
        <rFont val="Consolas"/>
        <family val="3"/>
      </rPr>
      <t>&gt;</t>
    </r>
  </si>
  <si>
    <t xml:space="preserve">      Some great views to the west with some of the moutains topping 10,000 feet.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</si>
  <si>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="../img/tourdivide/day14/day14pic07.JPG"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</si>
  <si>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Stop on way down from Pioneer Mtns for break and to speak with men in RV from Northern Idaho</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</si>
  <si>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="../img/tourdivide/day14/day14pic08.JPG"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</si>
  <si>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="../img/tourdivide/day14/day14pic09.JPG"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</si>
  <si>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The road rambled on here for quite a while.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</si>
  <si>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="../img/tourdivide/day14/day14pic10.JPG"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</si>
  <si>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with some paved and some gravel. Generally an easy ride.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</si>
  <si>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</si>
  <si>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I passed this group of four riders (two shown) early in the afternoon. I would see most of them off and</t>
  </si>
  <si>
    <t xml:space="preserve">      on until the fourth of July. The guy on the left in this picture would finish the race two days after my</t>
  </si>
  <si>
    <t xml:space="preserve">      finish and probably saved the life of the other person in this picture.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</si>
  <si>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="../img/tourdivide/day14/day14pic12.JPG"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</si>
  <si>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Getting to the end of the gravel and back to an area with people even though there wasn't a place to get</t>
  </si>
  <si>
    <t xml:space="preserve">      supplies.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</si>
  <si>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="../img/tourdivide/day14/day14pic13.JPG"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</si>
  <si>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I took a short cut past this reservoir which led me back to Interstate 15 where I stopped for lunch in the</t>
  </si>
  <si>
    <t xml:space="preserve">      underpass.</t>
  </si>
  <si>
    <t xml:space="preserve">      There were lots of sparrows to protect me from the mosquitos and flys. Many times they attacked as soon as</t>
  </si>
  <si>
    <t xml:space="preserve">      you stopped.</t>
  </si>
  <si>
    <t xml:space="preserve">      The birds had built thier nests on the underside of the highway.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</si>
  <si>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="../img/tourdivide/day14/day14pic14.JPG"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</si>
  <si>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Service road along I15. Flat and "railroad grade" which means it wasn't so steep. On the way into Butte two</t>
  </si>
  <si>
    <t xml:space="preserve">      days</t>
  </si>
  <si>
    <t xml:space="preserve">      before I had learned what this meant and it generally meant I could ride up without much trouble but after</t>
  </si>
  <si>
    <t xml:space="preserve">      20 miles</t>
  </si>
  <si>
    <t xml:space="preserve">      or so it did get to me.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</si>
  <si>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="../img/tourdivide/day14/day14pic15.JPG"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</si>
  <si>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&gt;Straight to Dell, MT and then on to Lima&lt;/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</si>
  <si>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</si>
  <si>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&gt;Not an eagle but a pretty interesting raptor.</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</si>
  <si>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="../img/tourdivide/day14/day14pic16b.JPG"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</si>
  <si>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&gt;This was in the shade</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</si>
  <si>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="../img/tourdivide/day14/day14pic16a.JPG"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</si>
  <si>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Stopped in Dell which was about 7 miles from Lima. It was hot and I had been out in the open most of the</t>
  </si>
  <si>
    <t xml:space="preserve">      day.</t>
  </si>
  <si>
    <t xml:space="preserve">      Drank a couple chocolate milks and a Gatorade and was on my way for the final push of the day.</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</si>
  <si>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&gt;Lima, MT&lt;/</t>
    </r>
    <r>
      <rPr>
        <b/>
        <sz val="9.8000000000000007"/>
        <color rgb="FF000080"/>
        <rFont val="Consolas"/>
        <family val="3"/>
      </rPr>
      <t>h2</t>
    </r>
    <r>
      <rPr>
        <sz val="9.8000000000000007"/>
        <color rgb="FF000000"/>
        <rFont val="Consolas"/>
        <family val="3"/>
      </rPr>
      <t>&gt;</t>
    </r>
  </si>
  <si>
    <t xml:space="preserve">      Stayed at the only motel at the edge of town. Did my laundry and compared notes with some Nobos who had</t>
  </si>
  <si>
    <t xml:space="preserve">      riden thru Yellowstone</t>
  </si>
  <si>
    <t xml:space="preserve">      instead of the sandy rail path coming out of the Tetons.</t>
  </si>
  <si>
    <t xml:space="preserve">      I ended up sharing my room with Andrew, from New Zealand, who I had seen earlier that day. The previous</t>
  </si>
  <si>
    <t xml:space="preserve">      night he had camped</t>
  </si>
  <si>
    <t xml:space="preserve">      20 miles past the Wise River Club. We rode together briefly until he decided to take a 5 mile uphill side</t>
  </si>
  <si>
    <t xml:space="preserve">      trip to visit a ghost town. He also took the road by the reservoir. We had dinner and would end the day in</t>
  </si>
  <si>
    <t xml:space="preserve">      same places for the next few weeks.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</si>
  <si>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</si>
  <si>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&gt;Luxury accommodations</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</si>
  <si>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="../img/tourdivide/day14/day14pic17a.JPG"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</si>
  <si>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&gt;After dinner</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</si>
  <si>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="../img/tourdivide/day14/day14pic17b.JPG"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</si>
  <si>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&gt;Best sunset of the trip</t>
    </r>
  </si>
  <si>
    <t xml:space="preserve">      June 22 - 105 miles - Wise River to Lima</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</si>
  <si>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="tourdivide13.html"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</si>
  <si>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="tourdivide15.html"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</si>
  <si>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14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</si>
  <si>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Day15"</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</si>
  <si>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Day15&lt;/</t>
    </r>
    <r>
      <rPr>
        <b/>
        <sz val="9.8000000000000007"/>
        <color rgb="FF000080"/>
        <rFont val="Consolas"/>
        <family val="3"/>
      </rPr>
      <t>title</t>
    </r>
    <r>
      <rPr>
        <sz val="9.8000000000000007"/>
        <color rgb="FF000000"/>
        <rFont val="Consolas"/>
        <family val="3"/>
      </rPr>
      <t>&gt;</t>
    </r>
  </si>
  <si>
    <r>
      <t>&lt;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="container"</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</si>
  <si>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header</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</si>
  <si>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/.row --&gt;</t>
    </r>
  </si>
  <si>
    <r>
      <t>&lt;/</t>
    </r>
    <r>
      <rPr>
        <b/>
        <sz val="9.8000000000000007"/>
        <color rgb="FF000080"/>
        <rFont val="Consolas"/>
        <family val="3"/>
      </rPr>
      <t>div</t>
    </r>
    <r>
      <rPr>
        <sz val="9.8000000000000007"/>
        <color rgb="FF000000"/>
        <rFont val="Consolas"/>
        <family val="3"/>
      </rPr>
      <t>&gt;</t>
    </r>
    <r>
      <rPr>
        <i/>
        <sz val="9.8000000000000007"/>
        <color rgb="FF808080"/>
        <rFont val="Consolas"/>
        <family val="3"/>
      </rPr>
      <t>&lt;!-- /.container --&gt;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</si>
  <si>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&gt;Lima - flat and dry&lt;/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</si>
  <si>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="../img/tourdivide/day15/day15mapandelev.jpg"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</si>
  <si>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="../img/tourdivide/day15/day15pic01.JPG"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</si>
  <si>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The gravel road was good most of the way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</si>
  <si>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</si>
  <si>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Lima dam</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</si>
  <si>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</si>
  <si>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&gt;Lima Dam and Reservoir&lt;/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</si>
  <si>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 xml:space="preserve">="100%" </t>
    </r>
    <r>
      <rPr>
        <b/>
        <sz val="9.8000000000000007"/>
        <color rgb="FF0000FF"/>
        <rFont val="Consolas"/>
        <family val="3"/>
      </rPr>
      <t>height</t>
    </r>
    <r>
      <rPr>
        <b/>
        <sz val="9.8000000000000007"/>
        <color rgb="FF008000"/>
        <rFont val="Consolas"/>
        <family val="3"/>
      </rPr>
      <t>="300px"</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</si>
  <si>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road continued into the valley above the dam</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</si>
  <si>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="container"</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</si>
  <si>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="row"</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</si>
  <si>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 xml:space="preserve">="carousel1" </t>
    </r>
    <r>
      <rPr>
        <b/>
        <sz val="9.8000000000000007"/>
        <color rgb="FF0000FF"/>
        <rFont val="Consolas"/>
        <family val="3"/>
      </rPr>
      <t>class</t>
    </r>
    <r>
      <rPr>
        <b/>
        <sz val="9.8000000000000007"/>
        <color rgb="FF008000"/>
        <rFont val="Consolas"/>
        <family val="3"/>
      </rPr>
      <t xml:space="preserve">="carousel slide" </t>
    </r>
    <r>
      <rPr>
        <b/>
        <sz val="9.8000000000000007"/>
        <color rgb="FF0000FF"/>
        <rFont val="Consolas"/>
        <family val="3"/>
      </rPr>
      <t>data-ride</t>
    </r>
    <r>
      <rPr>
        <b/>
        <sz val="9.8000000000000007"/>
        <color rgb="FF008000"/>
        <rFont val="Consolas"/>
        <family val="3"/>
      </rPr>
      <t>="carousel"</t>
    </r>
    <r>
      <rPr>
        <sz val="9.8000000000000007"/>
        <color rgb="FF000000"/>
        <rFont val="Consolas"/>
        <family val="3"/>
      </rPr>
      <t>&gt;</t>
    </r>
  </si>
  <si>
    <r>
      <t xml:space="preserve">        &lt;</t>
    </r>
    <r>
      <rPr>
        <b/>
        <sz val="9.8000000000000007"/>
        <color rgb="FF000080"/>
        <rFont val="Consolas"/>
        <family val="3"/>
      </rPr>
      <t xml:space="preserve">ol </t>
    </r>
    <r>
      <rPr>
        <b/>
        <sz val="9.8000000000000007"/>
        <color rgb="FF0000FF"/>
        <rFont val="Consolas"/>
        <family val="3"/>
      </rPr>
      <t>class</t>
    </r>
    <r>
      <rPr>
        <b/>
        <sz val="9.8000000000000007"/>
        <color rgb="FF008000"/>
        <rFont val="Consolas"/>
        <family val="3"/>
      </rPr>
      <t>="carousel-indicators"</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</si>
  <si>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 xml:space="preserve">="0" </t>
    </r>
    <r>
      <rPr>
        <b/>
        <sz val="9.8000000000000007"/>
        <color rgb="FF0000FF"/>
        <rFont val="Consolas"/>
        <family val="3"/>
      </rPr>
      <t>class</t>
    </r>
    <r>
      <rPr>
        <b/>
        <sz val="9.8000000000000007"/>
        <color rgb="FF008000"/>
        <rFont val="Consolas"/>
        <family val="3"/>
      </rPr>
      <t>="active"</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</si>
  <si>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="1"</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</si>
  <si>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="2"</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</si>
  <si>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="#carousel1" </t>
    </r>
    <r>
      <rPr>
        <b/>
        <sz val="9.8000000000000007"/>
        <color rgb="FF0000FF"/>
        <rFont val="Consolas"/>
        <family val="3"/>
      </rPr>
      <t>data-slide-to</t>
    </r>
    <r>
      <rPr>
        <b/>
        <sz val="9.8000000000000007"/>
        <color rgb="FF008000"/>
        <rFont val="Consolas"/>
        <family val="3"/>
      </rPr>
      <t>="3"</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</si>
  <si>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ol</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</si>
  <si>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 xml:space="preserve">="carousel-inner" </t>
    </r>
    <r>
      <rPr>
        <b/>
        <sz val="9.8000000000000007"/>
        <color rgb="FF0000FF"/>
        <rFont val="Consolas"/>
        <family val="3"/>
      </rPr>
      <t>role</t>
    </r>
    <r>
      <rPr>
        <b/>
        <sz val="9.8000000000000007"/>
        <color rgb="FF008000"/>
        <rFont val="Consolas"/>
        <family val="3"/>
      </rPr>
      <t>="listbox"</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</si>
  <si>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="../img/tourdivide/day15/day15pic05.JPG" </t>
    </r>
    <r>
      <rPr>
        <b/>
        <sz val="9.8000000000000007"/>
        <color rgb="FF0000FF"/>
        <rFont val="Consolas"/>
        <family val="3"/>
      </rPr>
      <t>alt</t>
    </r>
    <r>
      <rPr>
        <b/>
        <sz val="9.8000000000000007"/>
        <color rgb="FF008000"/>
        <rFont val="Consolas"/>
        <family val="3"/>
      </rPr>
      <t>="First slide image"</t>
    </r>
  </si>
  <si>
    <r>
      <t xml:space="preserve">                                       </t>
    </r>
    <r>
      <rPr>
        <b/>
        <sz val="9.8000000000000007"/>
        <color rgb="FF0000FF"/>
        <rFont val="Consolas"/>
        <family val="3"/>
      </rPr>
      <t>class</t>
    </r>
    <r>
      <rPr>
        <b/>
        <sz val="9.8000000000000007"/>
        <color rgb="FF008000"/>
        <rFont val="Consolas"/>
        <family val="3"/>
      </rPr>
      <t>="center-block"</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</si>
  <si>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="carousel-caption"</t>
    </r>
    <r>
      <rPr>
        <sz val="9.8000000000000007"/>
        <color rgb="FF000000"/>
        <rFont val="Consolas"/>
        <family val="3"/>
      </rPr>
      <t>&gt;</t>
    </r>
  </si>
  <si>
    <r>
      <t xml:space="preserve">           &lt;</t>
    </r>
    <r>
      <rPr>
        <b/>
        <sz val="9.8000000000000007"/>
        <color rgb="FF000080"/>
        <rFont val="Consolas"/>
        <family val="3"/>
      </rPr>
      <t>h4</t>
    </r>
    <r>
      <rPr>
        <sz val="9.8000000000000007"/>
        <color rgb="FF000000"/>
        <rFont val="Consolas"/>
        <family val="3"/>
      </rPr>
      <t>&gt;Mountains to the east&lt;/</t>
    </r>
    <r>
      <rPr>
        <b/>
        <sz val="9.8000000000000007"/>
        <color rgb="FF000080"/>
        <rFont val="Consolas"/>
        <family val="3"/>
      </rPr>
      <t>h4</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</si>
  <si>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&gt;I would be in the mountains in the distance by the afternnon.&lt;/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</si>
  <si>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</si>
  <si>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</si>
  <si>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="../img/tourdivide/day15/day15pic06.JPG" </t>
    </r>
    <r>
      <rPr>
        <b/>
        <sz val="9.8000000000000007"/>
        <color rgb="FF0000FF"/>
        <rFont val="Consolas"/>
        <family val="3"/>
      </rPr>
      <t>alt</t>
    </r>
    <r>
      <rPr>
        <b/>
        <sz val="9.8000000000000007"/>
        <color rgb="FF008000"/>
        <rFont val="Consolas"/>
        <family val="3"/>
      </rPr>
      <t>="Second slide image"</t>
    </r>
  </si>
  <si>
    <r>
      <t xml:space="preserve">                                </t>
    </r>
    <r>
      <rPr>
        <b/>
        <sz val="9.8000000000000007"/>
        <color rgb="FF0000FF"/>
        <rFont val="Consolas"/>
        <family val="3"/>
      </rPr>
      <t>class</t>
    </r>
    <r>
      <rPr>
        <b/>
        <sz val="9.8000000000000007"/>
        <color rgb="FF008000"/>
        <rFont val="Consolas"/>
        <family val="3"/>
      </rPr>
      <t>="center-block"</t>
    </r>
    <r>
      <rPr>
        <sz val="9.8000000000000007"/>
        <color rgb="FF000000"/>
        <rFont val="Consolas"/>
        <family val="3"/>
      </rPr>
      <t>&gt;</t>
    </r>
  </si>
  <si>
    <r>
      <t xml:space="preserve">           &lt;</t>
    </r>
    <r>
      <rPr>
        <b/>
        <sz val="9.8000000000000007"/>
        <color rgb="FF000080"/>
        <rFont val="Consolas"/>
        <family val="3"/>
      </rPr>
      <t>h4</t>
    </r>
    <r>
      <rPr>
        <sz val="9.8000000000000007"/>
        <color rgb="FF000000"/>
        <rFont val="Consolas"/>
        <family val="3"/>
      </rPr>
      <t>&gt;Mountains to the south&lt;/</t>
    </r>
    <r>
      <rPr>
        <b/>
        <sz val="9.8000000000000007"/>
        <color rgb="FF000080"/>
        <rFont val="Consolas"/>
        <family val="3"/>
      </rPr>
      <t>h4</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</si>
  <si>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&gt;2&lt;/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</si>
  <si>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="../img/tourdivide/day15/day15pic07.JPG"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</si>
  <si>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h4</t>
    </r>
    <r>
      <rPr>
        <sz val="9.8000000000000007"/>
        <color rgb="FF000000"/>
        <rFont val="Consolas"/>
        <family val="3"/>
      </rPr>
      <t>&gt;Pretty flat for 50 miles but I didn't mind.&lt;/</t>
    </r>
    <r>
      <rPr>
        <b/>
        <sz val="9.8000000000000007"/>
        <color rgb="FF000080"/>
        <rFont val="Consolas"/>
        <family val="3"/>
      </rPr>
      <t>h4</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</si>
  <si>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&gt;3&lt;/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</si>
  <si>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="../img/tourdivide/day15/day15pic08.JPG" </t>
    </r>
    <r>
      <rPr>
        <b/>
        <sz val="9.8000000000000007"/>
        <color rgb="FF0000FF"/>
        <rFont val="Consolas"/>
        <family val="3"/>
      </rPr>
      <t>alt</t>
    </r>
    <r>
      <rPr>
        <b/>
        <sz val="9.8000000000000007"/>
        <color rgb="FF008000"/>
        <rFont val="Consolas"/>
        <family val="3"/>
      </rPr>
      <t>="Forth slide image"</t>
    </r>
  </si>
  <si>
    <r>
      <t xml:space="preserve">           &lt;</t>
    </r>
    <r>
      <rPr>
        <b/>
        <sz val="9.8000000000000007"/>
        <color rgb="FF000080"/>
        <rFont val="Consolas"/>
        <family val="3"/>
      </rPr>
      <t>h3</t>
    </r>
    <r>
      <rPr>
        <sz val="9.8000000000000007"/>
        <color rgb="FF000000"/>
        <rFont val="Consolas"/>
        <family val="3"/>
      </rPr>
      <t>&gt;Only saw one other rider the whole day.&lt;/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</si>
  <si>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&gt;4&lt;/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</si>
  <si>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="left carousel-control" </t>
    </r>
    <r>
      <rPr>
        <b/>
        <sz val="9.8000000000000007"/>
        <color rgb="FF0000FF"/>
        <rFont val="Consolas"/>
        <family val="3"/>
      </rPr>
      <t>href</t>
    </r>
    <r>
      <rPr>
        <b/>
        <sz val="9.8000000000000007"/>
        <color rgb="FF008000"/>
        <rFont val="Consolas"/>
        <family val="3"/>
      </rPr>
      <t xml:space="preserve">="#carousel1"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="prev"</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</si>
  <si>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="glyphicon glyphicon-chevron-left" </t>
    </r>
    <r>
      <rPr>
        <b/>
        <sz val="9.8000000000000007"/>
        <color rgb="FF0000FF"/>
        <rFont val="Consolas"/>
        <family val="3"/>
      </rPr>
      <t>aria-hidden</t>
    </r>
    <r>
      <rPr>
        <b/>
        <sz val="9.8000000000000007"/>
        <color rgb="FF008000"/>
        <rFont val="Consolas"/>
        <family val="3"/>
      </rPr>
      <t>="true"</t>
    </r>
    <r>
      <rPr>
        <sz val="9.8000000000000007"/>
        <color rgb="FF000000"/>
        <rFont val="Consolas"/>
        <family val="3"/>
      </rPr>
      <t>&gt;&lt;/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</si>
  <si>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="sr-only"</t>
    </r>
    <r>
      <rPr>
        <sz val="9.8000000000000007"/>
        <color rgb="FF000000"/>
        <rFont val="Consolas"/>
        <family val="3"/>
      </rPr>
      <t>&gt;Previous&lt;/</t>
    </r>
    <r>
      <rPr>
        <b/>
        <sz val="9.8000000000000007"/>
        <color rgb="FF000080"/>
        <rFont val="Consolas"/>
        <family val="3"/>
      </rPr>
      <t>span</t>
    </r>
    <r>
      <rPr>
        <sz val="9.8000000000000007"/>
        <color rgb="FF000000"/>
        <rFont val="Consolas"/>
        <family val="3"/>
      </rPr>
      <t>&gt;&lt;/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</si>
  <si>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="right carousel-control" </t>
    </r>
    <r>
      <rPr>
        <b/>
        <sz val="9.8000000000000007"/>
        <color rgb="FF0000FF"/>
        <rFont val="Consolas"/>
        <family val="3"/>
      </rPr>
      <t>href</t>
    </r>
    <r>
      <rPr>
        <b/>
        <sz val="9.8000000000000007"/>
        <color rgb="FF008000"/>
        <rFont val="Consolas"/>
        <family val="3"/>
      </rPr>
      <t xml:space="preserve">="#carousel1"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="next"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</si>
  <si>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="glyphicon glyphicon-chevron-right" </t>
    </r>
    <r>
      <rPr>
        <b/>
        <sz val="9.8000000000000007"/>
        <color rgb="FF0000FF"/>
        <rFont val="Consolas"/>
        <family val="3"/>
      </rPr>
      <t>aria-hidden</t>
    </r>
    <r>
      <rPr>
        <b/>
        <sz val="9.8000000000000007"/>
        <color rgb="FF008000"/>
        <rFont val="Consolas"/>
        <family val="3"/>
      </rPr>
      <t>="true"</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</si>
  <si>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="sr-only"</t>
    </r>
    <r>
      <rPr>
        <sz val="9.8000000000000007"/>
        <color rgb="FF000000"/>
        <rFont val="Consolas"/>
        <family val="3"/>
      </rPr>
      <t>&gt;Next&lt;/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</si>
  <si>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/.row --&gt;</t>
    </r>
  </si>
  <si>
    <r>
      <t xml:space="preserve">     </t>
    </r>
    <r>
      <rPr>
        <sz val="9.8000000000000007"/>
        <color rgb="FF000000"/>
        <rFont val="Consolas"/>
        <family val="3"/>
      </rPr>
      <t>&lt;/</t>
    </r>
    <r>
      <rPr>
        <b/>
        <sz val="9.8000000000000007"/>
        <color rgb="FF000080"/>
        <rFont val="Consolas"/>
        <family val="3"/>
      </rPr>
      <t>div</t>
    </r>
    <r>
      <rPr>
        <sz val="9.8000000000000007"/>
        <color rgb="FF000000"/>
        <rFont val="Consolas"/>
        <family val="3"/>
      </rPr>
      <t>&gt;</t>
    </r>
    <r>
      <rPr>
        <i/>
        <sz val="9.8000000000000007"/>
        <color rgb="FF808080"/>
        <rFont val="Consolas"/>
        <family val="3"/>
      </rPr>
      <t>&lt;!-- /.container --&gt;</t>
    </r>
  </si>
  <si>
    <r>
      <t xml:space="preserve">     </t>
    </r>
    <r>
      <rPr>
        <sz val="9.8000000000000007"/>
        <color rgb="FF000000"/>
        <rFont val="Consolas"/>
        <family val="3"/>
      </rPr>
      <t>&lt;</t>
    </r>
    <r>
      <rPr>
        <b/>
        <sz val="9.8000000000000007"/>
        <color rgb="FF000080"/>
        <rFont val="Consolas"/>
        <family val="3"/>
      </rPr>
      <t>p</t>
    </r>
    <r>
      <rPr>
        <sz val="9.8000000000000007"/>
        <color rgb="FF000000"/>
        <rFont val="Consolas"/>
        <family val="3"/>
      </rPr>
      <t>&gt;</t>
    </r>
  </si>
  <si>
    <t xml:space="preserve">      This was Montana's version of a desert. I would learn in a few days that the Wyoming versions were much</t>
  </si>
  <si>
    <t xml:space="preserve">      tougher</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</si>
  <si>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="../img/tourdivide/day15/day15pic10.JPG"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</si>
  <si>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Took a break after riding through the town of Lakeview and not realizing I was through until I was.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</si>
  <si>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="../img/tourdivide/day15/day15pic11.JPG"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</si>
  <si>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t xml:space="preserve">      The climb up to Red Rock pass was not so bad. I was getting use to the hills.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</si>
  <si>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="../img/tourdivide/day15/day15pic13.JPG" </t>
    </r>
    <r>
      <rPr>
        <b/>
        <sz val="9.8000000000000007"/>
        <color rgb="FF0000FF"/>
        <rFont val="Consolas"/>
        <family val="3"/>
      </rPr>
      <t>alt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</si>
  <si>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&gt;Idaho&lt;/</t>
    </r>
    <r>
      <rPr>
        <b/>
        <sz val="9.8000000000000007"/>
        <color rgb="FF000080"/>
        <rFont val="Consolas"/>
        <family val="3"/>
      </rPr>
      <t>h2</t>
    </r>
    <r>
      <rPr>
        <sz val="9.8000000000000007"/>
        <color rgb="FF000000"/>
        <rFont val="Consolas"/>
        <family val="3"/>
      </rPr>
      <t>&gt;</t>
    </r>
  </si>
  <si>
    <t xml:space="preserve">      Finally a new state. I was happy to get out of Montana and looked forward to getting into Wyoming the</t>
  </si>
  <si>
    <t xml:space="preserve">      following day.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</si>
  <si>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</si>
  <si>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 new state after 10 days in Montana</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</si>
  <si>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="../img/tourdivide/day15/day15pic14.JPG"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</si>
  <si>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&gt;One of the lower CD passes. Back west of the CD (really south)</t>
    </r>
  </si>
  <si>
    <t xml:space="preserve">      Some single track and woods riding before we got to Mack's Inn. Stopped when I got to US20 for supplies</t>
  </si>
  <si>
    <t xml:space="preserve">      at the first gas station since Lima.</t>
  </si>
  <si>
    <t xml:space="preserve">      I road down US 20 to get to Macks Inn</t>
  </si>
  <si>
    <t xml:space="preserve">        This was a whole complex along Henrys Fork (Snake River).</t>
  </si>
  <si>
    <t xml:space="preserve">        It took a while to get a room. I had to go back twice to get something that worked.</t>
  </si>
  <si>
    <t xml:space="preserve">        At first I was across the street (US20- 4 lane road with wide shoulders) and then I was given a cabin</t>
  </si>
  <si>
    <t xml:space="preserve">        that someone's luggage was still in. It also appeared it might fall in on me.</t>
  </si>
  <si>
    <t xml:space="preserve">        The third room was on the second floor of the newer building along the river. Photos are from the</t>
  </si>
  <si>
    <t xml:space="preserve">        website.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</si>
  <si>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="../img/tourdivide/day15/macksinnimages.jpg"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</si>
  <si>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&gt;Macks Inn</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</si>
  <si>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="../img/tourdivide/day15/rusticcabin1.jpg"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</si>
  <si>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&gt;"Rustic cabin" - ie falling down</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</si>
  <si>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="../img/tourdivide/day15/riverfront1.jpg"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</si>
  <si>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&gt;2nd floor luxury</t>
    </r>
  </si>
  <si>
    <t xml:space="preserve">      Had a good pizza and some ice cream to end my day. Room worked out very well with some air flow.</t>
  </si>
  <si>
    <r>
      <t xml:space="preserve">     &lt;</t>
    </r>
    <r>
      <rPr>
        <b/>
        <sz val="9.8000000000000007"/>
        <color rgb="FF000080"/>
        <rFont val="Consolas"/>
        <family val="3"/>
      </rPr>
      <t>ul</t>
    </r>
    <r>
      <rPr>
        <sz val="9.8000000000000007"/>
        <color rgb="FF000000"/>
        <rFont val="Consolas"/>
        <family val="3"/>
      </rPr>
      <t>&gt;&lt;</t>
    </r>
    <r>
      <rPr>
        <b/>
        <sz val="9.8000000000000007"/>
        <color rgb="FF000080"/>
        <rFont val="Consolas"/>
        <family val="3"/>
      </rPr>
      <t>b</t>
    </r>
    <r>
      <rPr>
        <sz val="9.8000000000000007"/>
        <color rgb="FF000000"/>
        <rFont val="Consolas"/>
        <family val="3"/>
      </rPr>
      <t>&gt;All in all a good day and glad to be moving on to Wyoming&lt;/</t>
    </r>
    <r>
      <rPr>
        <b/>
        <sz val="9.8000000000000007"/>
        <color rgb="FF000080"/>
        <rFont val="Consolas"/>
        <family val="3"/>
      </rPr>
      <t>b</t>
    </r>
    <r>
      <rPr>
        <sz val="9.8000000000000007"/>
        <color rgb="FF000000"/>
        <rFont val="Consolas"/>
        <family val="3"/>
      </rPr>
      <t>&gt;&lt;/</t>
    </r>
    <r>
      <rPr>
        <b/>
        <sz val="9.8000000000000007"/>
        <color rgb="FF000080"/>
        <rFont val="Consolas"/>
        <family val="3"/>
      </rPr>
      <t>ul</t>
    </r>
    <r>
      <rPr>
        <sz val="9.8000000000000007"/>
        <color rgb="FF000000"/>
        <rFont val="Consolas"/>
        <family val="3"/>
      </rPr>
      <t>&gt;</t>
    </r>
  </si>
  <si>
    <t xml:space="preserve">      June 23 - ~90 miles - Lima to Island Park, ID</t>
  </si>
  <si>
    <r>
      <t xml:space="preserve">      . Photographs by Jim O'Brien (unless otherwise noted)&lt;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&gt;TD on Flickr&lt;/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</si>
  <si>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="tourdivide14.html"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</si>
  <si>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="tourdivide16.html"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</si>
  <si>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15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</si>
  <si>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Day16"</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</si>
  <si>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Day16&lt;/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</si>
  <si>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&gt;Island Park to the Scenic Byway&lt;/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</si>
  <si>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="../img/tourdivide/day16/day16pic01.JPG"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</si>
  <si>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&gt;North Fork Snake River</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</si>
  <si>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col-sm-8 blog-main --&gt;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</si>
  <si>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="../elev/20150624summ.png"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</si>
  <si>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="../elev/20150624elev.png"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95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</si>
  <si>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Scenic Byway was a nice stretch of road that had virtually no cars on it for it's entire 13 mile length.</t>
  </si>
  <si>
    <t xml:space="preserve">      There were a few people at the falls and a boy scout troop cleaning out moth webs.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</si>
  <si>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</si>
  <si>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="http://www.fws.gov/nwrs/threecolumn.aspx?id=2147522706"</t>
    </r>
  </si>
  <si>
    <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&gt;Tetons from 40 miles</t>
    </r>
  </si>
  <si>
    <r>
      <t xml:space="preserve">                                &lt;/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</si>
  <si>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&gt;Mesa Falls&lt;/</t>
    </r>
    <r>
      <rPr>
        <b/>
        <sz val="9.8000000000000007"/>
        <color rgb="FF000080"/>
        <rFont val="Consolas"/>
        <family val="3"/>
      </rPr>
      <t>h2</t>
    </r>
    <r>
      <rPr>
        <sz val="9.8000000000000007"/>
        <color rgb="FF000000"/>
        <rFont val="Consolas"/>
        <family val="3"/>
      </rPr>
      <t>&gt;</t>
    </r>
  </si>
  <si>
    <t xml:space="preserve">      The Mesa Falls was one of the nicest waterfalls I've seen. There was a great rainbow along the upper</t>
  </si>
  <si>
    <t xml:space="preserve">      falls and I would love to go back and do a walk along the whole trail.</t>
  </si>
  <si>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="../img/tourdivide/day16/day16pic03a.JPG" </t>
    </r>
    <r>
      <rPr>
        <b/>
        <sz val="9.8000000000000007"/>
        <color rgb="FF0000FF"/>
        <rFont val="Consolas"/>
        <family val="3"/>
      </rPr>
      <t>alt</t>
    </r>
    <r>
      <rPr>
        <b/>
        <sz val="9.8000000000000007"/>
        <color rgb="FF008000"/>
        <rFont val="Consolas"/>
        <family val="3"/>
      </rPr>
      <t>="First slide image"</t>
    </r>
  </si>
  <si>
    <r>
      <t xml:space="preserve">         &lt;</t>
    </r>
    <r>
      <rPr>
        <b/>
        <sz val="9.8000000000000007"/>
        <color rgb="FF000080"/>
        <rFont val="Consolas"/>
        <family val="3"/>
      </rPr>
      <t>h3</t>
    </r>
    <r>
      <rPr>
        <sz val="9.8000000000000007"/>
        <color rgb="FF000000"/>
        <rFont val="Consolas"/>
        <family val="3"/>
      </rPr>
      <t>&gt;Upper Mesa Falls&lt;/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</si>
  <si>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="../img/tourdivide/day16/day16pic03.JPG" </t>
    </r>
    <r>
      <rPr>
        <b/>
        <sz val="9.8000000000000007"/>
        <color rgb="FF0000FF"/>
        <rFont val="Consolas"/>
        <family val="3"/>
      </rPr>
      <t>alt</t>
    </r>
    <r>
      <rPr>
        <b/>
        <sz val="9.8000000000000007"/>
        <color rgb="FF008000"/>
        <rFont val="Consolas"/>
        <family val="3"/>
      </rPr>
      <t>="Second slide image"</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</si>
  <si>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="../img/tourdivide/day16/day16pic04.JPG"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</si>
  <si>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="../img/tourdivide/day16/day16pic05.JPG" </t>
    </r>
    <r>
      <rPr>
        <b/>
        <sz val="9.8000000000000007"/>
        <color rgb="FF0000FF"/>
        <rFont val="Consolas"/>
        <family val="3"/>
      </rPr>
      <t>alt</t>
    </r>
    <r>
      <rPr>
        <b/>
        <sz val="9.8000000000000007"/>
        <color rgb="FF008000"/>
        <rFont val="Consolas"/>
        <family val="3"/>
      </rPr>
      <t>="Third slide image"</t>
    </r>
  </si>
  <si>
    <t xml:space="preserve">      I parked by this restored hotel to walk along the falls trail</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</si>
  <si>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</si>
  <si>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The road to the Upper Falls was down about a mile so I decided to skip the Lower Fall road and</t>
  </si>
  <si>
    <t xml:space="preserve">      the additional climbs. I should have taken my time and seen the whole thing.</t>
  </si>
  <si>
    <r>
      <t xml:space="preserve">     &lt;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 xml:space="preserve">="carousel2" </t>
    </r>
    <r>
      <rPr>
        <b/>
        <sz val="9.8000000000000007"/>
        <color rgb="FF0000FF"/>
        <rFont val="Consolas"/>
        <family val="3"/>
      </rPr>
      <t>class</t>
    </r>
    <r>
      <rPr>
        <b/>
        <sz val="9.8000000000000007"/>
        <color rgb="FF008000"/>
        <rFont val="Consolas"/>
        <family val="3"/>
      </rPr>
      <t xml:space="preserve">="carousel slide" </t>
    </r>
    <r>
      <rPr>
        <b/>
        <sz val="9.8000000000000007"/>
        <color rgb="FF0000FF"/>
        <rFont val="Consolas"/>
        <family val="3"/>
      </rPr>
      <t>data-ride</t>
    </r>
    <r>
      <rPr>
        <b/>
        <sz val="9.8000000000000007"/>
        <color rgb="FF008000"/>
        <rFont val="Consolas"/>
        <family val="3"/>
      </rPr>
      <t>="carousel"</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</si>
  <si>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="#carousel2" </t>
    </r>
    <r>
      <rPr>
        <b/>
        <sz val="9.8000000000000007"/>
        <color rgb="FF0000FF"/>
        <rFont val="Consolas"/>
        <family val="3"/>
      </rPr>
      <t>data-slide-to</t>
    </r>
    <r>
      <rPr>
        <b/>
        <sz val="9.8000000000000007"/>
        <color rgb="FF008000"/>
        <rFont val="Consolas"/>
        <family val="3"/>
      </rPr>
      <t xml:space="preserve">="0" </t>
    </r>
    <r>
      <rPr>
        <b/>
        <sz val="9.8000000000000007"/>
        <color rgb="FF0000FF"/>
        <rFont val="Consolas"/>
        <family val="3"/>
      </rPr>
      <t>class</t>
    </r>
    <r>
      <rPr>
        <b/>
        <sz val="9.8000000000000007"/>
        <color rgb="FF008000"/>
        <rFont val="Consolas"/>
        <family val="3"/>
      </rPr>
      <t>="active"</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</si>
  <si>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="#carousel2" </t>
    </r>
    <r>
      <rPr>
        <b/>
        <sz val="9.8000000000000007"/>
        <color rgb="FF0000FF"/>
        <rFont val="Consolas"/>
        <family val="3"/>
      </rPr>
      <t>data-slide-to</t>
    </r>
    <r>
      <rPr>
        <b/>
        <sz val="9.8000000000000007"/>
        <color rgb="FF008000"/>
        <rFont val="Consolas"/>
        <family val="3"/>
      </rPr>
      <t>="1"</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</si>
  <si>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="#carousel2" </t>
    </r>
    <r>
      <rPr>
        <b/>
        <sz val="9.8000000000000007"/>
        <color rgb="FF0000FF"/>
        <rFont val="Consolas"/>
        <family val="3"/>
      </rPr>
      <t>data-slide-to</t>
    </r>
    <r>
      <rPr>
        <b/>
        <sz val="9.8000000000000007"/>
        <color rgb="FF008000"/>
        <rFont val="Consolas"/>
        <family val="3"/>
      </rPr>
      <t>="2"</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</si>
  <si>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="../img/tourdivide/day16/day16pic07.JPG" </t>
    </r>
    <r>
      <rPr>
        <b/>
        <sz val="9.8000000000000007"/>
        <color rgb="FF0000FF"/>
        <rFont val="Consolas"/>
        <family val="3"/>
      </rPr>
      <t>alt</t>
    </r>
    <r>
      <rPr>
        <b/>
        <sz val="9.8000000000000007"/>
        <color rgb="FF008000"/>
        <rFont val="Consolas"/>
        <family val="3"/>
      </rPr>
      <t>="First slide image"</t>
    </r>
  </si>
  <si>
    <r>
      <t xml:space="preserve">         &lt;</t>
    </r>
    <r>
      <rPr>
        <b/>
        <sz val="9.8000000000000007"/>
        <color rgb="FF000080"/>
        <rFont val="Consolas"/>
        <family val="3"/>
      </rPr>
      <t>h3</t>
    </r>
    <r>
      <rPr>
        <sz val="9.8000000000000007"/>
        <color rgb="FF000000"/>
        <rFont val="Consolas"/>
        <family val="3"/>
      </rPr>
      <t>&gt;Lower Mesa Falls&lt;/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</si>
  <si>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="../img/tourdivide/day16/day16pic08.JPG" </t>
    </r>
    <r>
      <rPr>
        <b/>
        <sz val="9.8000000000000007"/>
        <color rgb="FF0000FF"/>
        <rFont val="Consolas"/>
        <family val="3"/>
      </rPr>
      <t>alt</t>
    </r>
    <r>
      <rPr>
        <b/>
        <sz val="9.8000000000000007"/>
        <color rgb="FF008000"/>
        <rFont val="Consolas"/>
        <family val="3"/>
      </rPr>
      <t>="Second slide image"</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</si>
  <si>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="../img/tourdivide/day16/day16pic09.JPG"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</si>
  <si>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="left carousel-control" </t>
    </r>
    <r>
      <rPr>
        <b/>
        <sz val="9.8000000000000007"/>
        <color rgb="FF0000FF"/>
        <rFont val="Consolas"/>
        <family val="3"/>
      </rPr>
      <t>href</t>
    </r>
    <r>
      <rPr>
        <b/>
        <sz val="9.8000000000000007"/>
        <color rgb="FF008000"/>
        <rFont val="Consolas"/>
        <family val="3"/>
      </rPr>
      <t xml:space="preserve">="#carousel2"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="prev"</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</si>
  <si>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="right carousel-control" </t>
    </r>
    <r>
      <rPr>
        <b/>
        <sz val="9.8000000000000007"/>
        <color rgb="FF0000FF"/>
        <rFont val="Consolas"/>
        <family val="3"/>
      </rPr>
      <t>href</t>
    </r>
    <r>
      <rPr>
        <b/>
        <sz val="9.8000000000000007"/>
        <color rgb="FF008000"/>
        <rFont val="Consolas"/>
        <family val="3"/>
      </rPr>
      <t xml:space="preserve">="#carousel2"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="next"</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</si>
  <si>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 xml:space="preserve">="glyphicon glyphicon-chevron-right" </t>
    </r>
    <r>
      <rPr>
        <b/>
        <sz val="9.8000000000000007"/>
        <color rgb="FF0000FF"/>
        <rFont val="Consolas"/>
        <family val="3"/>
      </rPr>
      <t>aria-hidden</t>
    </r>
    <r>
      <rPr>
        <b/>
        <sz val="9.8000000000000007"/>
        <color rgb="FF008000"/>
        <rFont val="Consolas"/>
        <family val="3"/>
      </rPr>
      <t>="true"</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</si>
  <si>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="sr-only"</t>
    </r>
    <r>
      <rPr>
        <sz val="9.8000000000000007"/>
        <color rgb="FF000000"/>
        <rFont val="Consolas"/>
        <family val="3"/>
      </rPr>
      <t>&gt;Next&lt;/</t>
    </r>
    <r>
      <rPr>
        <b/>
        <sz val="9.8000000000000007"/>
        <color rgb="FF000080"/>
        <rFont val="Consolas"/>
        <family val="3"/>
      </rPr>
      <t>span</t>
    </r>
    <r>
      <rPr>
        <sz val="9.8000000000000007"/>
        <color rgb="FF000000"/>
        <rFont val="Consolas"/>
        <family val="3"/>
      </rPr>
      <t>&gt;</t>
    </r>
  </si>
  <si>
    <t xml:space="preserve">      Along the scenic byway with the Tetons in the distance</t>
  </si>
  <si>
    <t xml:space="preserve">      The Tetons dominated the skyline but I couldn't really see how I was going to get to the other side.</t>
  </si>
  <si>
    <t xml:space="preserve">      Later in the day an eight mile climb would show me the way.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</si>
  <si>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</si>
  <si>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&gt;An explanation of the naming of the Tetons from the Scenic Byway</t>
    </r>
  </si>
  <si>
    <t xml:space="preserve">        The scenic byway was downriver for most of it's length. I crossed over the Wise River after</t>
  </si>
  <si>
    <t xml:space="preserve">        traveling a total of 35 miles.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</si>
  <si>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</si>
  <si>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&gt;I had a gradual climb heading toward the Tetons</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</si>
  <si>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</si>
  <si>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&gt;Ashton Flagg Ranch Road&lt;/</t>
    </r>
    <r>
      <rPr>
        <b/>
        <sz val="9.8000000000000007"/>
        <color rgb="FF000080"/>
        <rFont val="Consolas"/>
        <family val="3"/>
      </rPr>
      <t>h2</t>
    </r>
    <r>
      <rPr>
        <sz val="9.8000000000000007"/>
        <color rgb="FF000000"/>
        <rFont val="Consolas"/>
        <family val="3"/>
      </rPr>
      <t>&gt;</t>
    </r>
  </si>
  <si>
    <t xml:space="preserve">      There was a flat section during the next 10 miles as I approached the Falls River. I stopped at the Squirrel</t>
  </si>
  <si>
    <t xml:space="preserve">      Creek</t>
  </si>
  <si>
    <t xml:space="preserve">      Elk Ranch and meet the three people in the TD race from Africa. They were just leaving. It was a father,</t>
  </si>
  <si>
    <t xml:space="preserve">      who ran a NGO in Malawi, and his two sons. They were originally from Toronto.</t>
  </si>
  <si>
    <t xml:space="preserve">      I had seen them off and on over the past week. Lunch was excellent and I was able to resupply my</t>
  </si>
  <si>
    <t xml:space="preserve">      water/gatorade.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</si>
  <si>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</si>
  <si>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flat gradual part of Ashton Flagg Ranch Road</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</si>
  <si>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</si>
  <si>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&gt;Ashton Flagg Ranch Road</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</si>
  <si>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="../img/tourdivide/day16/day16pic16.gif"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</si>
  <si>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&gt;Squirrel Creek Elk Ranch</t>
    </r>
  </si>
  <si>
    <t xml:space="preserve">        It appears that Dick Chaney may have been here at the entrance to Wyoming</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</si>
  <si>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</si>
  <si>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&gt;Crossing from Idaho to Wyoming</t>
    </r>
  </si>
  <si>
    <t xml:space="preserve">      Grassy Lake Road/Ashton-Flagg Ranch Rd as described on the NPS website "the east-west artery through</t>
  </si>
  <si>
    <t xml:space="preserve">      the John D. Rockefeller, Jr. Memorial Parkway.</t>
  </si>
  <si>
    <r>
      <t xml:space="preserve">     &lt;</t>
    </r>
    <r>
      <rPr>
        <b/>
        <sz val="9.8000000000000007"/>
        <color rgb="FF000080"/>
        <rFont val="Consolas"/>
        <family val="3"/>
      </rPr>
      <t>ul</t>
    </r>
    <r>
      <rPr>
        <sz val="9.8000000000000007"/>
        <color rgb="FF000000"/>
        <rFont val="Consolas"/>
        <family val="3"/>
      </rPr>
      <t>&gt;&lt;</t>
    </r>
    <r>
      <rPr>
        <b/>
        <sz val="9.8000000000000007"/>
        <color rgb="FF000080"/>
        <rFont val="Consolas"/>
        <family val="3"/>
      </rPr>
      <t>b</t>
    </r>
    <r>
      <rPr>
        <sz val="9.8000000000000007"/>
        <color rgb="FF000000"/>
        <rFont val="Consolas"/>
        <family val="3"/>
      </rPr>
      <t>&gt;"It is 36 miles of gravel road - sometimes washboarded, sometimes rutted, often windy, always</t>
    </r>
  </si>
  <si>
    <r>
      <t xml:space="preserve">      narrow."&lt;/</t>
    </r>
    <r>
      <rPr>
        <b/>
        <sz val="9.8000000000000007"/>
        <color rgb="FF000080"/>
        <rFont val="Consolas"/>
        <family val="3"/>
      </rPr>
      <t>b</t>
    </r>
    <r>
      <rPr>
        <sz val="9.8000000000000007"/>
        <color rgb="FF000000"/>
        <rFont val="Consolas"/>
        <family val="3"/>
      </rPr>
      <t>&gt;&lt;/</t>
    </r>
    <r>
      <rPr>
        <b/>
        <sz val="9.8000000000000007"/>
        <color rgb="FF000080"/>
        <rFont val="Consolas"/>
        <family val="3"/>
      </rPr>
      <t>ul</t>
    </r>
    <r>
      <rPr>
        <sz val="9.8000000000000007"/>
        <color rgb="FF000000"/>
        <rFont val="Consolas"/>
        <family val="3"/>
      </rPr>
      <t>&gt;</t>
    </r>
  </si>
  <si>
    <t xml:space="preserve">     It took me about 4 hours.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</si>
  <si>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</si>
  <si>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&gt;Gravel road - not great for bikes.</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</si>
  <si>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</si>
  <si>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&gt;Wagon train - near the state line</t>
    </r>
  </si>
  <si>
    <t xml:space="preserve">      I went by a wagon train of tourists in the covered wagon and thought I was getting close to civilization.</t>
  </si>
  <si>
    <t xml:space="preserve">      I was not. The last 15 miles were a slog as the description above indicates.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</si>
  <si>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="../img/tourdivide/day16/day16pic20a.jpg"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</si>
  <si>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trail from the NPS site. This is a smooth section.</t>
    </r>
  </si>
  <si>
    <t xml:space="preserve">      I rode/walked up the 10 mile stretch of rutted and rocky gravel before flagging down a truck</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</si>
  <si>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="../img/tourdivide/day16/day16pic19.JPG"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</si>
  <si>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&gt;My first vehicle assist.</t>
    </r>
  </si>
  <si>
    <t xml:space="preserve">        I got a short assist from a nice couple in a pickup truck about 4:30. I got a 20 minute ride and a</t>
  </si>
  <si>
    <t xml:space="preserve">        beer while we looked for their campground near Grassy Lake. It wasn't easy getting the fully loaded</t>
  </si>
  <si>
    <t xml:space="preserve">        bike up onto the rack on the roof of the truck but the three or so miles he took me was a great assist.</t>
  </si>
  <si>
    <t xml:space="preserve">        They had done some bike packing in New Zealand so understood what the end of the day could be like.</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</si>
  <si>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&gt;Down into Flagg Ranch&lt;/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</si>
  <si>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 xml:space="preserve">="carousel3" </t>
    </r>
    <r>
      <rPr>
        <b/>
        <sz val="9.8000000000000007"/>
        <color rgb="FF0000FF"/>
        <rFont val="Consolas"/>
        <family val="3"/>
      </rPr>
      <t>class</t>
    </r>
    <r>
      <rPr>
        <b/>
        <sz val="9.8000000000000007"/>
        <color rgb="FF008000"/>
        <rFont val="Consolas"/>
        <family val="3"/>
      </rPr>
      <t xml:space="preserve">="carousel slide" </t>
    </r>
    <r>
      <rPr>
        <b/>
        <sz val="9.8000000000000007"/>
        <color rgb="FF0000FF"/>
        <rFont val="Consolas"/>
        <family val="3"/>
      </rPr>
      <t>data-ride</t>
    </r>
    <r>
      <rPr>
        <b/>
        <sz val="9.8000000000000007"/>
        <color rgb="FF008000"/>
        <rFont val="Consolas"/>
        <family val="3"/>
      </rPr>
      <t>="carousel"</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</si>
  <si>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="#carousel3" </t>
    </r>
    <r>
      <rPr>
        <b/>
        <sz val="9.8000000000000007"/>
        <color rgb="FF0000FF"/>
        <rFont val="Consolas"/>
        <family val="3"/>
      </rPr>
      <t>data-slide-to</t>
    </r>
    <r>
      <rPr>
        <b/>
        <sz val="9.8000000000000007"/>
        <color rgb="FF008000"/>
        <rFont val="Consolas"/>
        <family val="3"/>
      </rPr>
      <t xml:space="preserve">="0" </t>
    </r>
    <r>
      <rPr>
        <b/>
        <sz val="9.8000000000000007"/>
        <color rgb="FF0000FF"/>
        <rFont val="Consolas"/>
        <family val="3"/>
      </rPr>
      <t>class</t>
    </r>
    <r>
      <rPr>
        <b/>
        <sz val="9.8000000000000007"/>
        <color rgb="FF008000"/>
        <rFont val="Consolas"/>
        <family val="3"/>
      </rPr>
      <t>="active"</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</si>
  <si>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="#carousel3" </t>
    </r>
    <r>
      <rPr>
        <b/>
        <sz val="9.8000000000000007"/>
        <color rgb="FF0000FF"/>
        <rFont val="Consolas"/>
        <family val="3"/>
      </rPr>
      <t>data-slide-to</t>
    </r>
    <r>
      <rPr>
        <b/>
        <sz val="9.8000000000000007"/>
        <color rgb="FF008000"/>
        <rFont val="Consolas"/>
        <family val="3"/>
      </rPr>
      <t>="1"</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</si>
  <si>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="../img/tourdivide/day16/day16pic20.JPG" </t>
    </r>
    <r>
      <rPr>
        <b/>
        <sz val="9.8000000000000007"/>
        <color rgb="FF0000FF"/>
        <rFont val="Consolas"/>
        <family val="3"/>
      </rPr>
      <t>alt</t>
    </r>
    <r>
      <rPr>
        <b/>
        <sz val="9.8000000000000007"/>
        <color rgb="FF008000"/>
        <rFont val="Consolas"/>
        <family val="3"/>
      </rPr>
      <t>="First slide image"</t>
    </r>
  </si>
  <si>
    <r>
      <t xml:space="preserve">         &lt;</t>
    </r>
    <r>
      <rPr>
        <b/>
        <sz val="9.8000000000000007"/>
        <color rgb="FF000080"/>
        <rFont val="Consolas"/>
        <family val="3"/>
      </rPr>
      <t>h3</t>
    </r>
    <r>
      <rPr>
        <sz val="9.8000000000000007"/>
        <color rgb="FF000000"/>
        <rFont val="Consolas"/>
        <family val="3"/>
      </rPr>
      <t>&gt;Burned over and regrowth&lt;/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</si>
  <si>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="../img/tourdivide/day16/day16pic21.JPG" </t>
    </r>
    <r>
      <rPr>
        <b/>
        <sz val="9.8000000000000007"/>
        <color rgb="FF0000FF"/>
        <rFont val="Consolas"/>
        <family val="3"/>
      </rPr>
      <t>alt</t>
    </r>
    <r>
      <rPr>
        <b/>
        <sz val="9.8000000000000007"/>
        <color rgb="FF008000"/>
        <rFont val="Consolas"/>
        <family val="3"/>
      </rPr>
      <t>="Second slide image"</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</si>
  <si>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="left carousel-control" </t>
    </r>
    <r>
      <rPr>
        <b/>
        <sz val="9.8000000000000007"/>
        <color rgb="FF0000FF"/>
        <rFont val="Consolas"/>
        <family val="3"/>
      </rPr>
      <t>href</t>
    </r>
    <r>
      <rPr>
        <b/>
        <sz val="9.8000000000000007"/>
        <color rgb="FF008000"/>
        <rFont val="Consolas"/>
        <family val="3"/>
      </rPr>
      <t xml:space="preserve">="#carousel3"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="prev"</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</si>
  <si>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="right carousel-control" </t>
    </r>
    <r>
      <rPr>
        <b/>
        <sz val="9.8000000000000007"/>
        <color rgb="FF0000FF"/>
        <rFont val="Consolas"/>
        <family val="3"/>
      </rPr>
      <t>href</t>
    </r>
    <r>
      <rPr>
        <b/>
        <sz val="9.8000000000000007"/>
        <color rgb="FF008000"/>
        <rFont val="Consolas"/>
        <family val="3"/>
      </rPr>
      <t xml:space="preserve">="#carousel3"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="next"</t>
    </r>
    <r>
      <rPr>
        <sz val="9.8000000000000007"/>
        <color rgb="FF000000"/>
        <rFont val="Consolas"/>
        <family val="3"/>
      </rPr>
      <t>&gt;</t>
    </r>
  </si>
  <si>
    <t xml:space="preserve">      The last five miles into Flagg Ranch was better because it was mostly down. Nice to get to the end of a long</t>
  </si>
  <si>
    <t xml:space="preserve">      Flagg Ranch, WY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</si>
  <si>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="../img/tourdivide/day16/day16pic22.JPG"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</si>
  <si>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&gt;My cabin for the night of June 24 in Flagg Ranch, WY</t>
    </r>
  </si>
  <si>
    <t xml:space="preserve">        Kathy, Kelly and I had stayed in Flagg Ranch in 1994 when we visited Yellowstone. The cabins we stayed</t>
  </si>
  <si>
    <t xml:space="preserve">        in were now staff quarters. I was able to get a shower and a very nice meal at the lodge. My room had no</t>
  </si>
  <si>
    <t xml:space="preserve">        lights or electricity but worked better than being outside. Lots of RVs and families.</t>
  </si>
  <si>
    <t xml:space="preserve">        Certainly more people than I had seen in quite a while.</t>
  </si>
  <si>
    <t xml:space="preserve">      June 24 - ~81 miles - Island Park, ID to Flagg Ranch between Yellowstone and the Grand Tetons</t>
  </si>
  <si>
    <r>
      <t xml:space="preserve">      . Photographs by Jim O'Brien&lt;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="https://flic.kr/s/aHsk9CwBC1"</t>
    </r>
    <r>
      <rPr>
        <sz val="9.8000000000000007"/>
        <color rgb="FF000000"/>
        <rFont val="Consolas"/>
        <family val="3"/>
      </rPr>
      <t>&gt;TD on Flickr&lt;/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</si>
  <si>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div</t>
    </r>
    <r>
      <rPr>
        <sz val="9.8000000000000007"/>
        <color rgb="FF000000"/>
        <rFont val="Consolas"/>
        <family val="3"/>
      </rPr>
      <t>&gt;</t>
    </r>
    <r>
      <rPr>
        <i/>
        <sz val="9.8000000000000007"/>
        <color rgb="FF808080"/>
        <rFont val="Consolas"/>
        <family val="3"/>
      </rPr>
      <t>&lt;!-- col-sm-12 blog-main --&gt;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</si>
  <si>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="tourdivide15.html"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</si>
  <si>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="tourdivide17.html"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</si>
  <si>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16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</si>
  <si>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Day17"</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</si>
  <si>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Day17&lt;/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</si>
  <si>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100</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</si>
  <si>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&gt;Grand Teton NP&lt;/</t>
    </r>
    <r>
      <rPr>
        <b/>
        <sz val="9.8000000000000007"/>
        <color rgb="FF000080"/>
        <rFont val="Consolas"/>
        <family val="3"/>
      </rPr>
      <t>h2</t>
    </r>
    <r>
      <rPr>
        <sz val="9.8000000000000007"/>
        <color rgb="FF000000"/>
        <rFont val="Consolas"/>
        <family val="3"/>
      </rPr>
      <t>&gt;</t>
    </r>
  </si>
  <si>
    <t xml:space="preserve">      Riding a bike on the roads in Grand Tetons NP was an interesting experience. On the one hand you are</t>
  </si>
  <si>
    <t xml:space="preserve">      going slow enough to enjoy the scenery. On the other the third week of June is not the optimal time for the</t>
  </si>
  <si>
    <t xml:space="preserve">      ride.</t>
  </si>
  <si>
    <t xml:space="preserve">      The RVs don't leave you much room. There was a small hill just after leaving Flagg Ranch.</t>
  </si>
  <si>
    <t xml:space="preserve">      This was the rise I had thought about the previous day and was also the reason Flagg Ranch didn't have cell</t>
  </si>
  <si>
    <t xml:space="preserve">      service.</t>
  </si>
  <si>
    <t xml:space="preserve">      Once I got over this small hump I had service from the park. I had a few phone calls to make so I found a</t>
  </si>
  <si>
    <t xml:space="preserve">      view</t>
  </si>
  <si>
    <t xml:space="preserve">      of Jenny Lake about 9 miles from my start and pull into a turnout.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</si>
  <si>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="../elev/20150625summ.png"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</si>
  <si>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="../elev/20150625elev.png"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</si>
  <si>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Inclduing the other times (1979, 1981, 1994, 2014) I've been in the Grand Tetons I definitely have too many</t>
  </si>
  <si>
    <t xml:space="preserve">      pictures of this mountain but it was a clear blue sky so I couldn't resist.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</si>
  <si>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</si>
  <si>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These mountains really do jump out of the ground and go virtually straight up.</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</si>
  <si>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</si>
  <si>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&gt;The Oxbow&lt;/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</si>
  <si>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="col-sm-9"</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</si>
  <si>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</si>
  <si>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&gt;The Oxbow bend</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</si>
  <si>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="col-sm-3"</t>
    </r>
    <r>
      <rPr>
        <sz val="9.8000000000000007"/>
        <color rgb="FF000000"/>
        <rFont val="Consolas"/>
        <family val="3"/>
      </rPr>
      <t>&gt;</t>
    </r>
  </si>
  <si>
    <t xml:space="preserve">        There was a bit of a traffic jam to stop so my first pictures didn't really capture the Oxbow.</t>
  </si>
  <si>
    <t xml:space="preserve">        It was a beautiful day and I had travelled another 10 miles or so and was still in the flat area of the</t>
  </si>
  <si>
    <t xml:space="preserve">        Teton Valley.</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</si>
  <si>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</si>
  <si>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&gt;I would get a couple more days to look back and still be able to</t>
    </r>
  </si>
  <si>
    <t xml:space="preserve">         see the Tetons</t>
  </si>
  <si>
    <t xml:space="preserve">      In 1993 I went for a morning bike ride and tracked a moose up the hill opposite the Oxbow.</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</si>
  <si>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="../img/tourdivide/day17/1993GrdTetoxbow.jpg"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</si>
  <si>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&gt;This is from my 1993 trip</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</si>
  <si>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="../img/tourdivide/day17/1993GrdTetmoose.jpg"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</si>
  <si>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&gt;In 1993, I followed this Moose for a while.  Might have gotten a bit too close.</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</si>
  <si>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</si>
  <si>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&gt;No moose tracking in 2015 but a nice spot to stop.</t>
    </r>
  </si>
  <si>
    <t xml:space="preserve">      I left the National Park heading to Moran, WY and my afternoon challenge was supposed to be Togwotee Pass.</t>
  </si>
  <si>
    <t xml:space="preserve">      This was a 17 mile climb up about 2,700ft. I saw a gas station and decided to stop and get a drink.</t>
  </si>
  <si>
    <t xml:space="preserve">      I was then presented with a new challenge.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</si>
  <si>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</si>
  <si>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&gt;Translation please</t>
    </r>
  </si>
  <si>
    <t xml:space="preserve">        When I came out of the store three Japanese woman started asking me questions - in Japanese. I had no</t>
  </si>
  <si>
    <t xml:space="preserve">        idea what</t>
  </si>
  <si>
    <t xml:space="preserve">        they were saying but they were pointing at their street map of Salt Lake City. I tried to convince them</t>
  </si>
  <si>
    <t xml:space="preserve">        they were way off course and should probably drive back to Jackson and then ask for directions.</t>
  </si>
  <si>
    <t xml:space="preserve">        We weren't really getting anywhere until finally one produced a phone which translated my English into</t>
  </si>
  <si>
    <t xml:space="preserve">        Japanese.</t>
  </si>
  <si>
    <t xml:space="preserve">        We seemed to make some progress and once I helped them figure out the gas station pump they were on</t>
  </si>
  <si>
    <t xml:space="preserve">        there way.</t>
  </si>
  <si>
    <r>
      <t xml:space="preserve">        &lt;</t>
    </r>
    <r>
      <rPr>
        <b/>
        <sz val="9.8000000000000007"/>
        <color rgb="FF000080"/>
        <rFont val="Consolas"/>
        <family val="3"/>
      </rPr>
      <t>u</t>
    </r>
    <r>
      <rPr>
        <sz val="9.8000000000000007"/>
        <color rgb="FF000000"/>
        <rFont val="Consolas"/>
        <family val="3"/>
      </rPr>
      <t>&gt;But not before we all took some pictures.&lt;/</t>
    </r>
    <r>
      <rPr>
        <b/>
        <sz val="9.8000000000000007"/>
        <color rgb="FF000080"/>
        <rFont val="Consolas"/>
        <family val="3"/>
      </rPr>
      <t>u</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</si>
  <si>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&gt;Togwotee Pass&lt;/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</si>
  <si>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="../img/tourdivide/day17/day17pic08.JPG"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</si>
  <si>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&gt;I decided to take the highway on the approach to Togwotee.</t>
    </r>
  </si>
  <si>
    <t xml:space="preserve">      I had some long walks at the beginning. About half way up I stopped at the Togwotee Mountain Lodge.</t>
  </si>
  <si>
    <t xml:space="preserve">      I chugged down two bottles of Gatorade and spent some time talking with the guy at the counter.</t>
  </si>
  <si>
    <t xml:space="preserve">      This was my highest pass so far and felt like it.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</si>
  <si>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="90%"</t>
    </r>
    <r>
      <rPr>
        <sz val="9.8000000000000007"/>
        <color rgb="FF000000"/>
        <rFont val="Consolas"/>
        <family val="3"/>
      </rPr>
      <t>&gt;</t>
    </r>
  </si>
  <si>
    <t xml:space="preserve">      It was also one of those days when you question your priorities. The Transamerica Trail shares this</t>
  </si>
  <si>
    <t xml:space="preserve">      road and continues east to Dubois, WY and the flat land.</t>
  </si>
  <si>
    <t xml:space="preserve">      It was at the end of days like this I would think about going east instead of south. This was one of the</t>
  </si>
  <si>
    <t xml:space="preserve">      places and Hartsel, CO was the other. I had lots of time to think about plans like this while I walked/road</t>
  </si>
  <si>
    <t xml:space="preserve">      up these passes.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</si>
  <si>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="../img/tourdivide/day17/day17pic10.JPG"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</si>
  <si>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&gt;Highest peak yet.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</si>
  <si>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</si>
  <si>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&gt;Three ways for the water to flow</t>
    </r>
  </si>
  <si>
    <t xml:space="preserve">      This was a brief trip to the eastern side of the the Continental Divide. I would pass back to the western</t>
  </si>
  <si>
    <t xml:space="preserve">      side the following day.</t>
  </si>
  <si>
    <t xml:space="preserve">      It was a spot where water can flow either into the Gulf of Mexico, the Colorado River basin or the Columbia</t>
  </si>
  <si>
    <t xml:space="preserve">      River Basin.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</si>
  <si>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="../img/tourdivide/day17/day17pic17.JPG"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</si>
  <si>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&gt;Looking south from the pass</t>
    </r>
  </si>
  <si>
    <r>
      <t xml:space="preserve">       &lt;</t>
    </r>
    <r>
      <rPr>
        <b/>
        <sz val="9.8000000000000007"/>
        <color rgb="FF000080"/>
        <rFont val="Consolas"/>
        <family val="3"/>
      </rPr>
      <t>div</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</si>
  <si>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="../img/tourdivide/day17/day17pic18.JPG"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</si>
  <si>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&gt;I had climbed into the Wind River Range</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</si>
  <si>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&gt;Wind River Lake&lt;/</t>
    </r>
    <r>
      <rPr>
        <b/>
        <sz val="9.8000000000000007"/>
        <color rgb="FF000080"/>
        <rFont val="Consolas"/>
        <family val="3"/>
      </rPr>
      <t>h2</t>
    </r>
    <r>
      <rPr>
        <sz val="9.8000000000000007"/>
        <color rgb="FF000000"/>
        <rFont val="Consolas"/>
        <family val="3"/>
      </rPr>
      <t>&gt;</t>
    </r>
  </si>
  <si>
    <t xml:space="preserve">      Just over the top of the pass I stumbled upon this really great lake.</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</si>
  <si>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</si>
  <si>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&gt;Followed a sign for "picnic area" and found this beautiful lake.</t>
    </r>
  </si>
  <si>
    <t xml:space="preserve">      The Wind River Lake was surrounded by some amazing rock formations.</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</si>
  <si>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</si>
  <si>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&gt;Nice spot to have a break after a long climb</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</si>
  <si>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</si>
  <si>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From here I coasted down to the Lava Mountain Lodge. Only went about 60 miles this day but was happy</t>
  </si>
  <si>
    <t xml:space="preserve">      to be over the pass and about to start heading mostly south.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</si>
  <si>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="../img/tourdivide/day17/day17pic16.JPG"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</si>
  <si>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&gt;This was really a pleasent surprise at end of a tough day.</t>
    </r>
  </si>
  <si>
    <t xml:space="preserve">      June 25 - ~62 miles - Flagg Ranch to Lava Mountain Lodge.</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</si>
  <si>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="tourdivide16.html"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</si>
  <si>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="tourdivide18.html"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</si>
  <si>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17 of 36)&lt;/</t>
    </r>
    <r>
      <rPr>
        <b/>
        <sz val="9.8000000000000007"/>
        <color rgb="FF000080"/>
        <rFont val="Consolas"/>
        <family val="3"/>
      </rPr>
      <t>NOBR</t>
    </r>
    <r>
      <rPr>
        <sz val="9.8000000000000007"/>
        <color rgb="FF000000"/>
        <rFont val="Consolas"/>
        <family val="3"/>
      </rPr>
      <t>&gt;</t>
    </r>
  </si>
  <si>
    <r>
      <t xml:space="preserve"> &lt;</t>
    </r>
    <r>
      <rPr>
        <b/>
        <sz val="9.8000000000000007"/>
        <color rgb="FF000080"/>
        <rFont val="Consolas"/>
        <family val="3"/>
      </rPr>
      <t xml:space="preserve">meta </t>
    </r>
    <r>
      <rPr>
        <b/>
        <sz val="9.8000000000000007"/>
        <color rgb="FF0000FF"/>
        <rFont val="Consolas"/>
        <family val="3"/>
      </rPr>
      <t>name</t>
    </r>
    <r>
      <rPr>
        <b/>
        <sz val="9.8000000000000007"/>
        <color rgb="FF008000"/>
        <rFont val="Consolas"/>
        <family val="3"/>
      </rPr>
      <t xml:space="preserve">="description" </t>
    </r>
    <r>
      <rPr>
        <b/>
        <sz val="9.8000000000000007"/>
        <color rgb="FF0000FF"/>
        <rFont val="Consolas"/>
        <family val="3"/>
      </rPr>
      <t>content</t>
    </r>
    <r>
      <rPr>
        <b/>
        <sz val="9.8000000000000007"/>
        <color rgb="FF008000"/>
        <rFont val="Consolas"/>
        <family val="3"/>
      </rPr>
      <t>="JimTD Day18"</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</si>
  <si>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Day18&lt;/</t>
    </r>
    <r>
      <rPr>
        <b/>
        <sz val="9.8000000000000007"/>
        <color rgb="FF000080"/>
        <rFont val="Consolas"/>
        <family val="3"/>
      </rPr>
      <t>title</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</si>
  <si>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&gt;Lava Mountain Lodge to the Devil's Hole Trail&lt;/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</si>
  <si>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="../img/tourdivide/day18/day18pic01.JPG"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</si>
  <si>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="../elev/20150626summ.png"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</si>
  <si>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="../elev/20150626elev.png"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style</t>
    </r>
    <r>
      <rPr>
        <b/>
        <sz val="9.8000000000000007"/>
        <color rgb="FF008000"/>
        <rFont val="Consolas"/>
        <family val="3"/>
      </rPr>
      <t>="</t>
    </r>
    <r>
      <rPr>
        <b/>
        <sz val="9.8000000000000007"/>
        <color rgb="FF0000FF"/>
        <rFont val="Consolas"/>
        <family val="3"/>
      </rPr>
      <t>width</t>
    </r>
    <r>
      <rPr>
        <sz val="9.8000000000000007"/>
        <color rgb="FF000000"/>
        <rFont val="Consolas"/>
        <family val="3"/>
      </rPr>
      <t>:</t>
    </r>
    <r>
      <rPr>
        <sz val="9.8000000000000007"/>
        <color rgb="FF0000FF"/>
        <rFont val="Consolas"/>
        <family val="3"/>
      </rPr>
      <t>85</t>
    </r>
    <r>
      <rPr>
        <sz val="9.8000000000000007"/>
        <color rgb="FF000000"/>
        <rFont val="Consolas"/>
        <family val="3"/>
      </rPr>
      <t>%</t>
    </r>
    <r>
      <rPr>
        <b/>
        <sz val="9.8000000000000007"/>
        <color rgb="FF008000"/>
        <rFont val="Consolas"/>
        <family val="3"/>
      </rPr>
      <t>"</t>
    </r>
    <r>
      <rPr>
        <sz val="9.8000000000000007"/>
        <color rgb="FF000000"/>
        <rFont val="Consolas"/>
        <family val="3"/>
      </rPr>
      <t>&gt;</t>
    </r>
  </si>
  <si>
    <t xml:space="preserve">      The morning would present two approximaetly five mile climbs up to the pass with a short section for</t>
  </si>
  <si>
    <t xml:space="preserve">      recovery in between.</t>
  </si>
  <si>
    <t xml:space="preserve">      In general the roads in Wyoming were very rideable. With the exception of some really steep sections that</t>
  </si>
  <si>
    <t xml:space="preserve">      was true</t>
  </si>
  <si>
    <t xml:space="preserve">      for this section.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</si>
  <si>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="../img/tourdivide/day18/day18pic02.JPG"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</si>
  <si>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Starting the day the same way I started most days - me and my shadow.</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</si>
  <si>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="../img/tourdivide/day18/day18pic03.JPG"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="95%"</t>
    </r>
    <r>
      <rPr>
        <sz val="9.8000000000000007"/>
        <color rgb="FF000000"/>
        <rFont val="Consolas"/>
        <family val="3"/>
      </rPr>
      <t>&gt;</t>
    </r>
  </si>
  <si>
    <t xml:space="preserve">      The initial stages were really wooded so not many pictures. I was mostly trying to make sure</t>
  </si>
  <si>
    <t xml:space="preserve">      I stayed on the purple line because I didn't have the cue sheets for this section. The cuesheets were pretty</t>
  </si>
  <si>
    <t xml:space="preserve">      spare in their descriptions.</t>
  </si>
  <si>
    <t xml:space="preserve">      This is the section between the two climbs. The road prior to this was one of the toughest I covered. Very</t>
  </si>
  <si>
    <t xml:space="preserve">      steep,</t>
  </si>
  <si>
    <t xml:space="preserve">      very torn up. I couldn't see how an ATV could pass through.</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</si>
  <si>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="../img/tourdivide/day18/day18pic04.JPG"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</si>
  <si>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&gt;Wide open roads - only a few Quads out today</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</si>
  <si>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&gt;On top of the world - part 1&lt;/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</si>
  <si>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="../img/tourdivide/day18/day18pic05b.JPG" </t>
    </r>
    <r>
      <rPr>
        <b/>
        <sz val="9.8000000000000007"/>
        <color rgb="FF0000FF"/>
        <rFont val="Consolas"/>
        <family val="3"/>
      </rPr>
      <t>alt</t>
    </r>
    <r>
      <rPr>
        <b/>
        <sz val="9.8000000000000007"/>
        <color rgb="FF008000"/>
        <rFont val="Consolas"/>
        <family val="3"/>
      </rPr>
      <t>="First slide image"</t>
    </r>
  </si>
  <si>
    <r>
      <t xml:space="preserve">           &lt;</t>
    </r>
    <r>
      <rPr>
        <b/>
        <sz val="9.8000000000000007"/>
        <color rgb="FF000080"/>
        <rFont val="Consolas"/>
        <family val="3"/>
      </rPr>
      <t>h3</t>
    </r>
    <r>
      <rPr>
        <sz val="9.8000000000000007"/>
        <color rgb="FF000000"/>
        <rFont val="Consolas"/>
        <family val="3"/>
      </rPr>
      <t>&gt;Top of Devils Hole Trail&lt;/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</si>
  <si>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&gt;View west&lt;/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</si>
  <si>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="../img/tourdivide/day18/day18pic05c.JPG" </t>
    </r>
    <r>
      <rPr>
        <b/>
        <sz val="9.8000000000000007"/>
        <color rgb="FF0000FF"/>
        <rFont val="Consolas"/>
        <family val="3"/>
      </rPr>
      <t>alt</t>
    </r>
    <r>
      <rPr>
        <b/>
        <sz val="9.8000000000000007"/>
        <color rgb="FF008000"/>
        <rFont val="Consolas"/>
        <family val="3"/>
      </rPr>
      <t>="Second slide image"</t>
    </r>
  </si>
  <si>
    <r>
      <t xml:space="preserve">           &lt;</t>
    </r>
    <r>
      <rPr>
        <b/>
        <sz val="9.8000000000000007"/>
        <color rgb="FF000080"/>
        <rFont val="Consolas"/>
        <family val="3"/>
      </rPr>
      <t>p</t>
    </r>
    <r>
      <rPr>
        <sz val="9.8000000000000007"/>
        <color rgb="FF000000"/>
        <rFont val="Consolas"/>
        <family val="3"/>
      </rPr>
      <t>&gt;View south&lt;/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</si>
  <si>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="../img/tourdivide/day18/day18pic05d.jpg"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</si>
  <si>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p</t>
    </r>
    <r>
      <rPr>
        <sz val="9.8000000000000007"/>
        <color rgb="FF000000"/>
        <rFont val="Consolas"/>
        <family val="3"/>
      </rPr>
      <t>&gt;View east&lt;/</t>
    </r>
    <r>
      <rPr>
        <b/>
        <sz val="9.8000000000000007"/>
        <color rgb="FF000080"/>
        <rFont val="Consolas"/>
        <family val="3"/>
      </rPr>
      <t>p</t>
    </r>
    <r>
      <rPr>
        <sz val="9.8000000000000007"/>
        <color rgb="FF000000"/>
        <rFont val="Consolas"/>
        <family val="3"/>
      </rPr>
      <t>&gt;</t>
    </r>
  </si>
  <si>
    <t xml:space="preserve">      The next 10 miles were probably the most impressive views I had on the trip. I was riding along on top</t>
  </si>
  <si>
    <t xml:space="preserve">      of the divide and on all sides I had an almost limitless view.</t>
  </si>
  <si>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&gt;Riding along the divide part 2&lt;/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</si>
  <si>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id</t>
    </r>
    <r>
      <rPr>
        <b/>
        <sz val="9.8000000000000007"/>
        <color rgb="FF008000"/>
        <rFont val="Consolas"/>
        <family val="3"/>
      </rPr>
      <t xml:space="preserve">="carousel2" </t>
    </r>
    <r>
      <rPr>
        <b/>
        <sz val="9.8000000000000007"/>
        <color rgb="FF0000FF"/>
        <rFont val="Consolas"/>
        <family val="3"/>
      </rPr>
      <t>class</t>
    </r>
    <r>
      <rPr>
        <b/>
        <sz val="9.8000000000000007"/>
        <color rgb="FF008000"/>
        <rFont val="Consolas"/>
        <family val="3"/>
      </rPr>
      <t xml:space="preserve">="carousel slide" </t>
    </r>
    <r>
      <rPr>
        <b/>
        <sz val="9.8000000000000007"/>
        <color rgb="FF0000FF"/>
        <rFont val="Consolas"/>
        <family val="3"/>
      </rPr>
      <t>data-ride</t>
    </r>
    <r>
      <rPr>
        <b/>
        <sz val="9.8000000000000007"/>
        <color rgb="FF008000"/>
        <rFont val="Consolas"/>
        <family val="3"/>
      </rPr>
      <t>="carousel"</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</si>
  <si>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="#carousel2" </t>
    </r>
    <r>
      <rPr>
        <b/>
        <sz val="9.8000000000000007"/>
        <color rgb="FF0000FF"/>
        <rFont val="Consolas"/>
        <family val="3"/>
      </rPr>
      <t>data-slide-to</t>
    </r>
    <r>
      <rPr>
        <b/>
        <sz val="9.8000000000000007"/>
        <color rgb="FF008000"/>
        <rFont val="Consolas"/>
        <family val="3"/>
      </rPr>
      <t xml:space="preserve">="0" </t>
    </r>
    <r>
      <rPr>
        <b/>
        <sz val="9.8000000000000007"/>
        <color rgb="FF0000FF"/>
        <rFont val="Consolas"/>
        <family val="3"/>
      </rPr>
      <t>class</t>
    </r>
    <r>
      <rPr>
        <b/>
        <sz val="9.8000000000000007"/>
        <color rgb="FF008000"/>
        <rFont val="Consolas"/>
        <family val="3"/>
      </rPr>
      <t>="active"</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</si>
  <si>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="#carousel2" </t>
    </r>
    <r>
      <rPr>
        <b/>
        <sz val="9.8000000000000007"/>
        <color rgb="FF0000FF"/>
        <rFont val="Consolas"/>
        <family val="3"/>
      </rPr>
      <t>data-slide-to</t>
    </r>
    <r>
      <rPr>
        <b/>
        <sz val="9.8000000000000007"/>
        <color rgb="FF008000"/>
        <rFont val="Consolas"/>
        <family val="3"/>
      </rPr>
      <t>="1"</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</si>
  <si>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="#carousel2" </t>
    </r>
    <r>
      <rPr>
        <b/>
        <sz val="9.8000000000000007"/>
        <color rgb="FF0000FF"/>
        <rFont val="Consolas"/>
        <family val="3"/>
      </rPr>
      <t>data-slide-to</t>
    </r>
    <r>
      <rPr>
        <b/>
        <sz val="9.8000000000000007"/>
        <color rgb="FF008000"/>
        <rFont val="Consolas"/>
        <family val="3"/>
      </rPr>
      <t>="2"</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</si>
  <si>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="../img/tourdivide/day18/day18pic08.JPG" </t>
    </r>
    <r>
      <rPr>
        <b/>
        <sz val="9.8000000000000007"/>
        <color rgb="FF0000FF"/>
        <rFont val="Consolas"/>
        <family val="3"/>
      </rPr>
      <t>alt</t>
    </r>
    <r>
      <rPr>
        <b/>
        <sz val="9.8000000000000007"/>
        <color rgb="FF008000"/>
        <rFont val="Consolas"/>
        <family val="3"/>
      </rPr>
      <t>="First slide image"</t>
    </r>
  </si>
  <si>
    <r>
      <t xml:space="preserve">           &lt;</t>
    </r>
    <r>
      <rPr>
        <b/>
        <sz val="9.8000000000000007"/>
        <color rgb="FF000080"/>
        <rFont val="Consolas"/>
        <family val="3"/>
      </rPr>
      <t>h3</t>
    </r>
    <r>
      <rPr>
        <sz val="9.8000000000000007"/>
        <color rgb="FF000000"/>
        <rFont val="Consolas"/>
        <family val="3"/>
      </rPr>
      <t>&gt;Top of Union Pass area 1&lt;/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</si>
  <si>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="../img/tourdivide/day18/day18pic08a.JPG" </t>
    </r>
    <r>
      <rPr>
        <b/>
        <sz val="9.8000000000000007"/>
        <color rgb="FF0000FF"/>
        <rFont val="Consolas"/>
        <family val="3"/>
      </rPr>
      <t>alt</t>
    </r>
    <r>
      <rPr>
        <b/>
        <sz val="9.8000000000000007"/>
        <color rgb="FF008000"/>
        <rFont val="Consolas"/>
        <family val="3"/>
      </rPr>
      <t>="Second slide image"</t>
    </r>
  </si>
  <si>
    <r>
      <t xml:space="preserve">           &lt;</t>
    </r>
    <r>
      <rPr>
        <b/>
        <sz val="9.8000000000000007"/>
        <color rgb="FF000080"/>
        <rFont val="Consolas"/>
        <family val="3"/>
      </rPr>
      <t>h3</t>
    </r>
    <r>
      <rPr>
        <sz val="9.8000000000000007"/>
        <color rgb="FF000000"/>
        <rFont val="Consolas"/>
        <family val="3"/>
      </rPr>
      <t>&gt;Top of Union Pass area 2&lt;/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</si>
  <si>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p</t>
    </r>
    <r>
      <rPr>
        <sz val="9.8000000000000007"/>
        <color rgb="FF000000"/>
        <rFont val="Consolas"/>
        <family val="3"/>
      </rPr>
      <t>&gt;View north&lt;/</t>
    </r>
    <r>
      <rPr>
        <b/>
        <sz val="9.8000000000000007"/>
        <color rgb="FF000080"/>
        <rFont val="Consolas"/>
        <family val="3"/>
      </rPr>
      <t>p</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</si>
  <si>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="../img/tourdivide/day18/day18pic11.JPG"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</si>
  <si>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h3</t>
    </r>
    <r>
      <rPr>
        <sz val="9.8000000000000007"/>
        <color rgb="FF000000"/>
        <rFont val="Consolas"/>
        <family val="3"/>
      </rPr>
      <t>&gt;Top of Union Pass area 3&lt;/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</si>
  <si>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="left carousel-control" </t>
    </r>
    <r>
      <rPr>
        <b/>
        <sz val="9.8000000000000007"/>
        <color rgb="FF0000FF"/>
        <rFont val="Consolas"/>
        <family val="3"/>
      </rPr>
      <t>href</t>
    </r>
    <r>
      <rPr>
        <b/>
        <sz val="9.8000000000000007"/>
        <color rgb="FF008000"/>
        <rFont val="Consolas"/>
        <family val="3"/>
      </rPr>
      <t xml:space="preserve">="#carousel2"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="prev"</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</si>
  <si>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class</t>
    </r>
    <r>
      <rPr>
        <b/>
        <sz val="9.8000000000000007"/>
        <color rgb="FF008000"/>
        <rFont val="Consolas"/>
        <family val="3"/>
      </rPr>
      <t xml:space="preserve">="right carousel-control" </t>
    </r>
    <r>
      <rPr>
        <b/>
        <sz val="9.8000000000000007"/>
        <color rgb="FF0000FF"/>
        <rFont val="Consolas"/>
        <family val="3"/>
      </rPr>
      <t>href</t>
    </r>
    <r>
      <rPr>
        <b/>
        <sz val="9.8000000000000007"/>
        <color rgb="FF008000"/>
        <rFont val="Consolas"/>
        <family val="3"/>
      </rPr>
      <t xml:space="preserve">="#carousel2" </t>
    </r>
    <r>
      <rPr>
        <b/>
        <sz val="9.8000000000000007"/>
        <color rgb="FF0000FF"/>
        <rFont val="Consolas"/>
        <family val="3"/>
      </rPr>
      <t>role</t>
    </r>
    <r>
      <rPr>
        <b/>
        <sz val="9.8000000000000007"/>
        <color rgb="FF008000"/>
        <rFont val="Consolas"/>
        <family val="3"/>
      </rPr>
      <t xml:space="preserve">="button" </t>
    </r>
    <r>
      <rPr>
        <b/>
        <sz val="9.8000000000000007"/>
        <color rgb="FF0000FF"/>
        <rFont val="Consolas"/>
        <family val="3"/>
      </rPr>
      <t>data-slide</t>
    </r>
    <r>
      <rPr>
        <b/>
        <sz val="9.8000000000000007"/>
        <color rgb="FF008000"/>
        <rFont val="Consolas"/>
        <family val="3"/>
      </rPr>
      <t>="next"</t>
    </r>
    <r>
      <rPr>
        <sz val="9.8000000000000007"/>
        <color rgb="FF000000"/>
        <rFont val="Consolas"/>
        <family val="3"/>
      </rPr>
      <t>&gt;</t>
    </r>
  </si>
  <si>
    <t xml:space="preserve">      Came thru this gate to rejoin the original TD trail</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</si>
  <si>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="../img/tourdivide/day18/day18pic13.JPG"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</si>
  <si>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Still pretty close to the top ...</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</si>
  <si>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="../img/tourdivide/day18/day18pic14.JPG"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</si>
  <si>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t xml:space="preserve">      ... and mountains all around.</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</si>
  <si>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="../img/tourdivide/day18/day18pic15.JPG"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</si>
  <si>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&gt;Still on top of the divide</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</si>
  <si>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="../img/tourdivide/day18/day18pic12.JPG"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</si>
  <si>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&gt;Don't forget to stop and smell the flowers</t>
    </r>
  </si>
  <si>
    <t xml:space="preserve">      I was really happy to be up here. The road to this point had not been easy but getting to this spot really</t>
  </si>
  <si>
    <t xml:space="preserve">      confirmed</t>
  </si>
  <si>
    <t xml:space="preserve">      why I had decided to do this trip. I was amazed again and again during the five plus hours it took me to go</t>
  </si>
  <si>
    <t xml:space="preserve">      through this section.</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</si>
  <si>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="../img/tourdivide/day18/day18pic16.JPG"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</si>
  <si>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&gt;Back to the flats&lt;/</t>
    </r>
    <r>
      <rPr>
        <b/>
        <sz val="9.8000000000000007"/>
        <color rgb="FF000080"/>
        <rFont val="Consolas"/>
        <family val="3"/>
      </rPr>
      <t>h2</t>
    </r>
    <r>
      <rPr>
        <sz val="9.8000000000000007"/>
        <color rgb="FF000000"/>
        <rFont val="Consolas"/>
        <family val="3"/>
      </rPr>
      <t>&gt;</t>
    </r>
  </si>
  <si>
    <t xml:space="preserve">      The last 40 miles was rolling downhill and south through wide open spaces. The Wind River Range was to the</t>
  </si>
  <si>
    <t xml:space="preserve">      east</t>
  </si>
  <si>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="../img/tourdivide/day18/day18pic22.JPG"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</si>
  <si>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&gt;Coming off the gravel and back onto a real road.</t>
    </r>
  </si>
  <si>
    <t xml:space="preserve">      I stopped to take a break in the shade of a park bathroom building which was the only shade for miles.</t>
  </si>
  <si>
    <t xml:space="preserve">      I was joined by a couple who shared what shade there was.</t>
  </si>
  <si>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="#carousel3" </t>
    </r>
    <r>
      <rPr>
        <b/>
        <sz val="9.8000000000000007"/>
        <color rgb="FF0000FF"/>
        <rFont val="Consolas"/>
        <family val="3"/>
      </rPr>
      <t>data-slide-to</t>
    </r>
    <r>
      <rPr>
        <b/>
        <sz val="9.8000000000000007"/>
        <color rgb="FF008000"/>
        <rFont val="Consolas"/>
        <family val="3"/>
      </rPr>
      <t>="2"</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</si>
  <si>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li </t>
    </r>
    <r>
      <rPr>
        <b/>
        <sz val="9.8000000000000007"/>
        <color rgb="FF0000FF"/>
        <rFont val="Consolas"/>
        <family val="3"/>
      </rPr>
      <t>data-target</t>
    </r>
    <r>
      <rPr>
        <b/>
        <sz val="9.8000000000000007"/>
        <color rgb="FF008000"/>
        <rFont val="Consolas"/>
        <family val="3"/>
      </rPr>
      <t xml:space="preserve">="#carousel3" </t>
    </r>
    <r>
      <rPr>
        <b/>
        <sz val="9.8000000000000007"/>
        <color rgb="FF0000FF"/>
        <rFont val="Consolas"/>
        <family val="3"/>
      </rPr>
      <t>data-slide-to</t>
    </r>
    <r>
      <rPr>
        <b/>
        <sz val="9.8000000000000007"/>
        <color rgb="FF008000"/>
        <rFont val="Consolas"/>
        <family val="3"/>
      </rPr>
      <t>="3"</t>
    </r>
    <r>
      <rPr>
        <sz val="9.8000000000000007"/>
        <color rgb="FF000000"/>
        <rFont val="Consolas"/>
        <family val="3"/>
      </rPr>
      <t>&gt;&lt;/</t>
    </r>
    <r>
      <rPr>
        <b/>
        <sz val="9.8000000000000007"/>
        <color rgb="FF000080"/>
        <rFont val="Consolas"/>
        <family val="3"/>
      </rPr>
      <t>li</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</si>
  <si>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 active"</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="../img/tourdivide/day18/day18pic17.JPG" </t>
    </r>
    <r>
      <rPr>
        <b/>
        <sz val="9.8000000000000007"/>
        <color rgb="FF0000FF"/>
        <rFont val="Consolas"/>
        <family val="3"/>
      </rPr>
      <t>alt</t>
    </r>
    <r>
      <rPr>
        <b/>
        <sz val="9.8000000000000007"/>
        <color rgb="FF008000"/>
        <rFont val="Consolas"/>
        <family val="3"/>
      </rPr>
      <t>="First slide image"</t>
    </r>
  </si>
  <si>
    <r>
      <t xml:space="preserve">         &lt;</t>
    </r>
    <r>
      <rPr>
        <b/>
        <sz val="9.8000000000000007"/>
        <color rgb="FF000080"/>
        <rFont val="Consolas"/>
        <family val="3"/>
      </rPr>
      <t>h3</t>
    </r>
    <r>
      <rPr>
        <sz val="9.8000000000000007"/>
        <color rgb="FF000000"/>
        <rFont val="Consolas"/>
        <family val="3"/>
      </rPr>
      <t>&gt;Wyoming transition&lt;/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</si>
  <si>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="../img/tourdivide/day18/day18pic18.JPG" </t>
    </r>
    <r>
      <rPr>
        <b/>
        <sz val="9.8000000000000007"/>
        <color rgb="FF0000FF"/>
        <rFont val="Consolas"/>
        <family val="3"/>
      </rPr>
      <t>alt</t>
    </r>
    <r>
      <rPr>
        <b/>
        <sz val="9.8000000000000007"/>
        <color rgb="FF008000"/>
        <rFont val="Consolas"/>
        <family val="3"/>
      </rPr>
      <t>="Second slide image"</t>
    </r>
  </si>
  <si>
    <r>
      <t xml:space="preserve">         &lt;</t>
    </r>
    <r>
      <rPr>
        <b/>
        <sz val="9.8000000000000007"/>
        <color rgb="FF000080"/>
        <rFont val="Consolas"/>
        <family val="3"/>
      </rPr>
      <t>h3</t>
    </r>
    <r>
      <rPr>
        <sz val="9.8000000000000007"/>
        <color rgb="FF000000"/>
        <rFont val="Consolas"/>
        <family val="3"/>
      </rPr>
      <t>&gt;From the mountains&lt;/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</si>
  <si>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="../img/tourdivide/day18/day18pic19.JPG"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</si>
  <si>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h3</t>
    </r>
    <r>
      <rPr>
        <sz val="9.8000000000000007"/>
        <color rgb="FF000000"/>
        <rFont val="Consolas"/>
        <family val="3"/>
      </rPr>
      <t>&gt;to the desert&lt;/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</si>
  <si>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 xml:space="preserve">div </t>
    </r>
    <r>
      <rPr>
        <b/>
        <sz val="9.8000000000000007"/>
        <color rgb="FF0000FF"/>
        <rFont val="Consolas"/>
        <family val="3"/>
      </rPr>
      <t>class</t>
    </r>
    <r>
      <rPr>
        <b/>
        <sz val="9.8000000000000007"/>
        <color rgb="FF008000"/>
        <rFont val="Consolas"/>
        <family val="3"/>
      </rPr>
      <t>="item"</t>
    </r>
    <r>
      <rPr>
        <sz val="9.8000000000000007"/>
        <color rgb="FF000000"/>
        <rFont val="Consolas"/>
        <family val="3"/>
      </rPr>
      <t>&gt;&lt;</t>
    </r>
    <r>
      <rPr>
        <b/>
        <sz val="9.8000000000000007"/>
        <color rgb="FF000080"/>
        <rFont val="Consolas"/>
        <family val="3"/>
      </rPr>
      <t xml:space="preserve">img </t>
    </r>
    <r>
      <rPr>
        <b/>
        <sz val="9.8000000000000007"/>
        <color rgb="FF0000FF"/>
        <rFont val="Consolas"/>
        <family val="3"/>
      </rPr>
      <t>src</t>
    </r>
    <r>
      <rPr>
        <b/>
        <sz val="9.8000000000000007"/>
        <color rgb="FF008000"/>
        <rFont val="Consolas"/>
        <family val="3"/>
      </rPr>
      <t xml:space="preserve">="../img/tourdivide/day18/day18pic20.JPG" </t>
    </r>
    <r>
      <rPr>
        <b/>
        <sz val="9.8000000000000007"/>
        <color rgb="FF0000FF"/>
        <rFont val="Consolas"/>
        <family val="3"/>
      </rPr>
      <t>alt</t>
    </r>
    <r>
      <rPr>
        <b/>
        <sz val="9.8000000000000007"/>
        <color rgb="FF008000"/>
        <rFont val="Consolas"/>
        <family val="3"/>
      </rPr>
      <t>="Third slide image"</t>
    </r>
  </si>
  <si>
    <r>
      <t xml:space="preserve">         &lt;</t>
    </r>
    <r>
      <rPr>
        <b/>
        <sz val="9.8000000000000007"/>
        <color rgb="FF000080"/>
        <rFont val="Consolas"/>
        <family val="3"/>
      </rPr>
      <t>h3</t>
    </r>
    <r>
      <rPr>
        <sz val="9.8000000000000007"/>
        <color rgb="FF000000"/>
        <rFont val="Consolas"/>
        <family val="3"/>
      </rPr>
      <t>&gt;Rolling toward Pinedale&lt;/</t>
    </r>
    <r>
      <rPr>
        <b/>
        <sz val="9.8000000000000007"/>
        <color rgb="FF000080"/>
        <rFont val="Consolas"/>
        <family val="3"/>
      </rPr>
      <t>h3</t>
    </r>
    <r>
      <rPr>
        <sz val="9.8000000000000007"/>
        <color rgb="FF000000"/>
        <rFont val="Consolas"/>
        <family val="3"/>
      </rPr>
      <t>&gt;</t>
    </r>
  </si>
  <si>
    <r>
      <t xml:space="preserve">                                &lt;/</t>
    </r>
    <r>
      <rPr>
        <b/>
        <sz val="9.8000000000000007"/>
        <color rgb="FF000080"/>
        <rFont val="Consolas"/>
        <family val="3"/>
      </rPr>
      <t>span</t>
    </r>
    <r>
      <rPr>
        <sz val="9.8000000000000007"/>
        <color rgb="FF000000"/>
        <rFont val="Consolas"/>
        <family val="3"/>
      </rPr>
      <t>&gt;&lt;</t>
    </r>
    <r>
      <rPr>
        <b/>
        <sz val="9.8000000000000007"/>
        <color rgb="FF000080"/>
        <rFont val="Consolas"/>
        <family val="3"/>
      </rPr>
      <t xml:space="preserve">span </t>
    </r>
    <r>
      <rPr>
        <b/>
        <sz val="9.8000000000000007"/>
        <color rgb="FF0000FF"/>
        <rFont val="Consolas"/>
        <family val="3"/>
      </rPr>
      <t>class</t>
    </r>
    <r>
      <rPr>
        <b/>
        <sz val="9.8000000000000007"/>
        <color rgb="FF008000"/>
        <rFont val="Consolas"/>
        <family val="3"/>
      </rPr>
      <t>="sr-only"</t>
    </r>
    <r>
      <rPr>
        <sz val="9.8000000000000007"/>
        <color rgb="FF000000"/>
        <rFont val="Consolas"/>
        <family val="3"/>
      </rPr>
      <t>&gt;Next&lt;/</t>
    </r>
    <r>
      <rPr>
        <b/>
        <sz val="9.8000000000000007"/>
        <color rgb="FF000080"/>
        <rFont val="Consolas"/>
        <family val="3"/>
      </rPr>
      <t>span</t>
    </r>
    <r>
      <rPr>
        <sz val="9.8000000000000007"/>
        <color rgb="FF000000"/>
        <rFont val="Consolas"/>
        <family val="3"/>
      </rPr>
      <t>&gt;</t>
    </r>
  </si>
  <si>
    <r>
      <t xml:space="preserve">     &lt;</t>
    </r>
    <r>
      <rPr>
        <b/>
        <sz val="9.8000000000000007"/>
        <color rgb="FF000080"/>
        <rFont val="Consolas"/>
        <family val="3"/>
      </rPr>
      <t xml:space="preserve">h2 </t>
    </r>
    <r>
      <rPr>
        <b/>
        <sz val="9.8000000000000007"/>
        <color rgb="FF0000FF"/>
        <rFont val="Consolas"/>
        <family val="3"/>
      </rPr>
      <t>class</t>
    </r>
    <r>
      <rPr>
        <b/>
        <sz val="9.8000000000000007"/>
        <color rgb="FF008000"/>
        <rFont val="Consolas"/>
        <family val="3"/>
      </rPr>
      <t>="section-heading"</t>
    </r>
    <r>
      <rPr>
        <sz val="9.8000000000000007"/>
        <color rgb="FF000000"/>
        <rFont val="Consolas"/>
        <family val="3"/>
      </rPr>
      <t>&gt;Pinedale, WY - A nice hotel, laundry and a meal&lt;/</t>
    </r>
    <r>
      <rPr>
        <b/>
        <sz val="9.8000000000000007"/>
        <color rgb="FF000080"/>
        <rFont val="Consolas"/>
        <family val="3"/>
      </rPr>
      <t>h2</t>
    </r>
    <r>
      <rPr>
        <sz val="9.8000000000000007"/>
        <color rgb="FF000000"/>
        <rFont val="Consolas"/>
        <family val="3"/>
      </rPr>
      <t>&gt;</t>
    </r>
  </si>
  <si>
    <r>
      <t xml:space="preserve">        &lt;</t>
    </r>
    <r>
      <rPr>
        <b/>
        <sz val="9.8000000000000007"/>
        <color rgb="FF000080"/>
        <rFont val="Consolas"/>
        <family val="3"/>
      </rPr>
      <t xml:space="preserve">img </t>
    </r>
    <r>
      <rPr>
        <b/>
        <sz val="9.8000000000000007"/>
        <color rgb="FF0000FF"/>
        <rFont val="Consolas"/>
        <family val="3"/>
      </rPr>
      <t>class</t>
    </r>
    <r>
      <rPr>
        <b/>
        <sz val="9.8000000000000007"/>
        <color rgb="FF008000"/>
        <rFont val="Consolas"/>
        <family val="3"/>
      </rPr>
      <t xml:space="preserve">="img-responsive" </t>
    </r>
    <r>
      <rPr>
        <b/>
        <sz val="9.8000000000000007"/>
        <color rgb="FF0000FF"/>
        <rFont val="Consolas"/>
        <family val="3"/>
      </rPr>
      <t>src</t>
    </r>
    <r>
      <rPr>
        <b/>
        <sz val="9.8000000000000007"/>
        <color rgb="FF008000"/>
        <rFont val="Consolas"/>
        <family val="3"/>
      </rPr>
      <t xml:space="preserve">="../img/tourdivide/day18/day18pic21.JPG" </t>
    </r>
    <r>
      <rPr>
        <b/>
        <sz val="9.8000000000000007"/>
        <color rgb="FF0000FF"/>
        <rFont val="Consolas"/>
        <family val="3"/>
      </rPr>
      <t>alt</t>
    </r>
    <r>
      <rPr>
        <b/>
        <sz val="9.8000000000000007"/>
        <color rgb="FF008000"/>
        <rFont val="Consolas"/>
        <family val="3"/>
      </rPr>
      <t xml:space="preserve">="" </t>
    </r>
    <r>
      <rPr>
        <b/>
        <sz val="9.8000000000000007"/>
        <color rgb="FF0000FF"/>
        <rFont val="Consolas"/>
        <family val="3"/>
      </rPr>
      <t>width</t>
    </r>
    <r>
      <rPr>
        <b/>
        <sz val="9.8000000000000007"/>
        <color rgb="FF008000"/>
        <rFont val="Consolas"/>
        <family val="3"/>
      </rPr>
      <t>="100%"</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</si>
  <si>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 xml:space="preserve">="#" </t>
    </r>
    <r>
      <rPr>
        <b/>
        <sz val="9.8000000000000007"/>
        <color rgb="FF0000FF"/>
        <rFont val="Consolas"/>
        <family val="3"/>
      </rPr>
      <t>class</t>
    </r>
    <r>
      <rPr>
        <b/>
        <sz val="9.8000000000000007"/>
        <color rgb="FF008000"/>
        <rFont val="Consolas"/>
        <family val="3"/>
      </rPr>
      <t>="caption text-muted"</t>
    </r>
    <r>
      <rPr>
        <sz val="9.8000000000000007"/>
        <color rgb="FF000000"/>
        <rFont val="Consolas"/>
        <family val="3"/>
      </rPr>
      <t>&gt;Nicest bed since Helena</t>
    </r>
  </si>
  <si>
    <t xml:space="preserve">        Stayed at the Hampton Inn in Pinedale. I had missed the turn to go off the main road and through town.</t>
  </si>
  <si>
    <t xml:space="preserve">        I realized it after finishing the last hill of the day so ended up taking a highway the last 3 miles.</t>
  </si>
  <si>
    <t xml:space="preserve">        I met Andrew from NZ for dinner. He had ridden through Yellowstone and Jackson for the past few days.</t>
  </si>
  <si>
    <t xml:space="preserve">        With the Wyoming desert coming up for the next 3 days I was glad to have another rider in the vicinity.</t>
  </si>
  <si>
    <t xml:space="preserve">        We would end up mostly in the same places until July 5th.</t>
  </si>
  <si>
    <t xml:space="preserve">      June 26 - ~83 miles - Lava Mtn Lodge across Union Pass to Pinedale, WY</t>
  </si>
  <si>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="tourdivide17.html"</t>
    </r>
    <r>
      <rPr>
        <sz val="9.8000000000000007"/>
        <color rgb="FF000000"/>
        <rFont val="Consolas"/>
        <family val="3"/>
      </rPr>
      <t>&gt;Prev&lt;/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</si>
  <si>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 xml:space="preserve">a </t>
    </r>
    <r>
      <rPr>
        <b/>
        <sz val="9.8000000000000007"/>
        <color rgb="FF0000FF"/>
        <rFont val="Consolas"/>
        <family val="3"/>
      </rPr>
      <t>href</t>
    </r>
    <r>
      <rPr>
        <b/>
        <sz val="9.8000000000000007"/>
        <color rgb="FF008000"/>
        <rFont val="Consolas"/>
        <family val="3"/>
      </rPr>
      <t>="tourdivide19.html"</t>
    </r>
    <r>
      <rPr>
        <sz val="9.8000000000000007"/>
        <color rgb="FF000000"/>
        <rFont val="Consolas"/>
        <family val="3"/>
      </rPr>
      <t>&gt;Next&lt;/</t>
    </r>
    <r>
      <rPr>
        <b/>
        <sz val="9.8000000000000007"/>
        <color rgb="FF000080"/>
        <rFont val="Consolas"/>
        <family val="3"/>
      </rPr>
      <t>A</t>
    </r>
    <r>
      <rPr>
        <sz val="9.8000000000000007"/>
        <color rgb="FF000000"/>
        <rFont val="Consolas"/>
        <family val="3"/>
      </rPr>
      <t>&gt;</t>
    </r>
  </si>
  <si>
    <r>
      <t xml:space="preserve">   &lt;</t>
    </r>
    <r>
      <rPr>
        <b/>
        <sz val="9.8000000000000007"/>
        <color rgb="FF000080"/>
        <rFont val="Consolas"/>
        <family val="3"/>
      </rPr>
      <t>NOBR</t>
    </r>
    <r>
      <rPr>
        <sz val="9.8000000000000007"/>
        <color rgb="FF000000"/>
        <rFont val="Consolas"/>
        <family val="3"/>
      </rPr>
      <t>&gt;(page 18 of 36)&lt;/</t>
    </r>
    <r>
      <rPr>
        <b/>
        <sz val="9.8000000000000007"/>
        <color rgb="FF000080"/>
        <rFont val="Consolas"/>
        <family val="3"/>
      </rPr>
      <t>NOBR</t>
    </r>
    <r>
      <rPr>
        <sz val="9.8000000000000007"/>
        <color rgb="FF000000"/>
        <rFont val="Consolas"/>
        <family val="3"/>
      </rPr>
      <t>&gt;</t>
    </r>
  </si>
  <si>
    <r>
      <t xml:space="preserve"> </t>
    </r>
    <r>
      <rPr>
        <sz val="9.8000000000000007"/>
        <color rgb="FF000000"/>
        <rFont val="Consolas"/>
        <family val="3"/>
      </rPr>
      <t>&lt;</t>
    </r>
    <r>
      <rPr>
        <b/>
        <sz val="9.8000000000000007"/>
        <color rgb="FF000080"/>
        <rFont val="Consolas"/>
        <family val="3"/>
      </rPr>
      <t>title</t>
    </r>
    <r>
      <rPr>
        <sz val="9.8000000000000007"/>
        <color rgb="FF000000"/>
        <rFont val="Consolas"/>
        <family val="3"/>
      </rPr>
      <t>&gt;JimTD Day13&lt;/</t>
    </r>
    <r>
      <rPr>
        <b/>
        <sz val="9.8000000000000007"/>
        <color rgb="FF000080"/>
        <rFont val="Consolas"/>
        <family val="3"/>
      </rPr>
      <t>title</t>
    </r>
    <r>
      <rPr>
        <sz val="9.8000000000000007"/>
        <color rgb="FF000000"/>
        <rFont val="Consolas"/>
        <family val="3"/>
      </rPr>
      <t>&gt;</t>
    </r>
  </si>
  <si>
    <t>h2-postheading</t>
  </si>
  <si>
    <t>h3-subheading</t>
  </si>
  <si>
    <t>h3-rideinfo</t>
  </si>
  <si>
    <t>intro-backround-img</t>
  </si>
  <si>
    <t>pg-title</t>
  </si>
  <si>
    <t>viewport</t>
  </si>
  <si>
    <t>author</t>
  </si>
  <si>
    <t>content</t>
  </si>
  <si>
    <t>Once again - Mornings are for going up - twenty plus miles</t>
  </si>
  <si>
    <t>For someone who doesn't like hills you picked a strange race to join</t>
  </si>
  <si>
    <t>blockquote1</t>
  </si>
  <si>
    <t>blockquote2</t>
  </si>
  <si>
    <t>It is by riding a bicycle that you learn the contours of a country best, &lt;br&gt;since you have to sweat up the hills and coast down them. –Ernest Hemingway</t>
  </si>
  <si>
    <t xml:space="preserve">     </t>
  </si>
  <si>
    <t xml:space="preserve">     &lt;p&gt; Leaving Sparwood after a quite night got two miles out when I realized I had left my map in the hotel room. &lt;b&gt;This was the map I was supposed to be looking at on the top of my handle bars.&lt;/b&gt; I went back and found it beneath the blankets and went on my way.</t>
  </si>
  <si>
    <t xml:space="preserve">      &lt;p&gt; Left Elkford with a hope that my tires would hold until Sparwood and also that I would be able to start riding up some of the hills. Crossed the Elk River and we had already learned "leaving the river" means going up. I started by going up on a reasonably busy road.</t>
  </si>
  <si>
    <t xml:space="preserve">      Not much sleep at the top of Cabin Pass. It was cold and wet but I was warm and reasonably dry in my sleeping bag and tarp/tent. After waking up about 6am I dumped all my wet stuff out into the trail/road. As I was getting orgainized riders started coming past.  They had traveled 195 miles from the start 22 hours before. I also learned that seven others had come thru earlier in the morning. &lt;b&gt;If I didn't know it already I really learned how far in over my head I was.&lt;/b&gt;&lt;br&gt;      So there I stood with stuff all over the place trying to get the wet gear back into some kind of order. By the time I got it all back on the bike the sun was fully up and within a mile I would be walking again.</t>
  </si>
  <si>
    <t>p-descr</t>
  </si>
  <si>
    <t>Mornings are for going up</t>
  </si>
  <si>
    <t>&lt;p&gt;  This was my longest day so far and it had two pretty significant climbs. It was also the first time I had other riders around me. The cover photo above is from the approach to Red Meadow Lake. Everyone who passed  me eventually walked.</t>
  </si>
  <si>
    <t xml:space="preserve">     &lt;p&gt;Richmond Peak is one of those days that everyone talks about. Some of the classic stories are about people  limping into Ovando after getting over Richmond Peak.      Getting to Holland Lake allowed me to be at the bottom of the climb first thing in the morning.   I also wanted to get a good breakfast at the Holland Lake Lodge so I had a bit of a late start.      After a brief wrong turn on the other side of the lake it took two hours to go the first 14 miles.      The next 6 miles also took two hours.</t>
  </si>
  <si>
    <t>formulas</t>
  </si>
  <si>
    <t>Leaving Banff was the easy part. Got my picture taken by a park ranger and got on the bike.  &lt;br&gt;My Garmin Tracking device(Etrex20) didn’t actually show me any roads or map  features but it gave me a purple line to follow.  For some reason the electronic map I loaded from Topofusion didn’t have detail for the area right around Banff but the Spray River trail was easy to follow I didn't really need anything else. The map showed some detail about 35 miles later.</t>
  </si>
  <si>
    <t xml:space="preserve">     &lt;p&gt; After a tough ending to my longest day yet I decided to take the morning off and make a short trip in the afternoon to let my legs recover and get ready for Montana. Walked to the laundry after a late breakfast.     &lt;/p&gt;</t>
  </si>
  <si>
    <t xml:space="preserve">     &lt;p&gt;      This was a big day. There were three/four climbs between Ovando and Helena with three crossings of the      Continental Divide.      The goal was to get as far as I could.     &lt;/p&gt;</t>
  </si>
  <si>
    <t xml:space="preserve">     &lt;p&gt;      Short fast ride down from my camping spot just after the CD crossing. The last 10 or so was on a highway.      - coasting down to Helena</t>
  </si>
  <si>
    <t xml:space="preserve">      After two hours of hours climbing out of Helena, Kelly caught me after giving me an hour      head start. He then mentioned that there was a free bus leaving Helena every Saturday morning which would      have taken me up the six mile hill I just climbed. I saw them unloading while I struggled up the hills and      wished I had taken the bus. Just kidding ;)     &lt;/p&gt;</t>
  </si>
  <si>
    <t xml:space="preserve">     &lt;p&gt;      The road out of Butte was paved for the first 10 miles. Once I was off the main state highway the road      turned up for the next 8 miles.     &lt;/p&gt;</t>
  </si>
  <si>
    <t xml:space="preserve">     &lt;p&gt;      The start of the day from the Wise River Club was a big surprise. It was "up". I rode along the river for      almost 20 miles until there wasn't any more river just a marshy meadow. The road was marked as a      National Scenic Byway. It seemed like a good thing and two days further on I would be sold on taking them      instead of some sketchy gravel roads.      &lt;br&gt;      &lt;br&gt;      I was learning.     &lt;/p&gt;</t>
  </si>
  <si>
    <t xml:space="preserve">     &lt;p&gt;      I road out of Lima and then along the stream coming out of the dam for the first 13 miles. I road past the      dam for the      reservoir and though it wasn't always visible the reservoir backed up the river about 20 miles.     &lt;/p&gt;</t>
  </si>
  <si>
    <t xml:space="preserve">     &lt;p&gt;      I started this day off the route to go on the Mesa Falls Scenic Byway. I rejoined the TD course and followed      it for the last 50 miles or so. It was definitely harder than I expected in the last 20 miles where I found      roots and rocks galore.     &lt;/p&gt;</t>
  </si>
  <si>
    <t xml:space="preserve">     &lt;p&gt;      Riding a bike on the roads in Grand Tetons NP was an interesting experience. On the one hand you are      going slow enough to enjoy the scenery. On the other the third week of June is not the optimal time for the      ride.      The RVs don't leave you much room. There was a small hill just after leaving Flagg Ranch.      This was the rise I had thought about the previous day and was also the reason Flagg Ranch didn't have cell      service.      Once I got over this small hump I had service from the park. I had a few phone calls to make so I found a      view      of Jenny Lake about 9 miles from my start and pull into a turnout.      &lt;br&gt;     &lt;/p&gt;</t>
  </si>
  <si>
    <t xml:space="preserve">     &lt;p&gt;      I left Lava Mountain Lodge early because I really didn't know what to expect in the climb around Union Pass.      Previously the race course had taken the pavement directly over Union Pass.      The route was shifted this year to avoid congestion and also provide the riders with tremendous views.      Getting to the top was a challenge.     &lt;/p&gt;      &lt;img class="img-responsive" src="../img/tourdivide/day18/day18pic01.JPG" alt="" style="width:85%"&gt;</t>
  </si>
  <si>
    <t>pic1</t>
  </si>
  <si>
    <t>pic2</t>
  </si>
  <si>
    <t>twopicblock6x6</t>
  </si>
  <si>
    <t>p-dayinfo-to-from</t>
  </si>
  <si>
    <t>('../img/tourdivide/day01/day01pic02.jpg')</t>
  </si>
  <si>
    <t>('../img/tourdivide/day02/day02pic06.jpg')</t>
  </si>
  <si>
    <t>../img/tourdivide/day03/day03pic00v2.jpg')</t>
  </si>
  <si>
    <t>('../img/tourdivide/day06/day06pic00.JPG')</t>
  </si>
  <si>
    <t>('../img/tourdivide/day07/day07pic00.JPG')</t>
  </si>
  <si>
    <t>('../img/tourdivide/day08/day08pic00.JPG')</t>
  </si>
  <si>
    <t>('../img/tourdivide/day09/day09pic00.JPG')</t>
  </si>
  <si>
    <t>('../img/tourdivide/day10/day10pic00.jpg')</t>
  </si>
  <si>
    <t>('../img/tourdivide/day11/day11pic02.JPG')</t>
  </si>
  <si>
    <t>('../img/tourdivide/day12/day12pic07.jpg')</t>
  </si>
  <si>
    <t>('../img/tourdivide/day13/day13pic00.JPG')</t>
  </si>
  <si>
    <t>('../img/tourdivide/day14/day14pic00.jpg')</t>
  </si>
  <si>
    <t>('../img/tourdivide/day15/day15pic00.JPG')</t>
  </si>
  <si>
    <t>('../img/tourdivide/day16/day16pic00.JPG')</t>
  </si>
  <si>
    <t>('../img/tourdivide/day17/day17pic00.jpg')</t>
  </si>
  <si>
    <t>('../img/tourdivide/day18/day18pic00.JPG')</t>
  </si>
  <si>
    <t>(../img/tourdivide/day04/day04pic00.JPG)</t>
  </si>
  <si>
    <t>(../img/tourdivide/day05/day05pic001.JPG)</t>
  </si>
  <si>
    <t>Day 11 Helena and a rest day on N. Davis St</t>
  </si>
  <si>
    <t>Day 03 - Fixing the Bike and shedding gear</t>
  </si>
  <si>
    <t>Day 05 - The Wall, Galton Pass and back in the USA</t>
  </si>
  <si>
    <t>Day 06 - Two long passes and a long ride into Whitefish, MT</t>
  </si>
  <si>
    <t>Day 9 - Coming round the mountain</t>
  </si>
  <si>
    <t>Those trails didnt look so steep on the map</t>
  </si>
  <si>
    <t>First CD pass and a shaky set of tires</t>
  </si>
  <si>
    <t>Two passes then "...shooting guns and blowing stuff up"</t>
  </si>
  <si>
    <t>As a biker I'm a pretty good hiker</t>
  </si>
  <si>
    <t>Riding, Walking and more tire woes</t>
  </si>
  <si>
    <t>What about this road by the Reservoir?</t>
  </si>
  <si>
    <t>Day 1. Tuesday, June 9, 2015 Banff, Alberta, Canada to Bolton Trading Post&lt;/span&gt;</t>
  </si>
  <si>
    <t>Wednesday, June 10, 2015, Bolton Trading Post to Elkford, BC&lt;/span&gt;</t>
  </si>
  <si>
    <t>Thursday, June 11, 2015 Elkford, BC to Sparwood, BC (and Fernie)&lt;/span&gt;</t>
  </si>
  <si>
    <t>Friday, June 12, 2015 Sparwood to Cabin Pass&lt;/span&gt;</t>
  </si>
  <si>
    <t>Saturday, June 13, 2015 Cabin Pass, BC to Eureka, MT&lt;/span&gt;</t>
  </si>
  <si>
    <t>Sunday, June 14, 2015 Eureka to Whitefish, MT&lt;/span&gt;</t>
  </si>
  <si>
    <t>Monday, June 15, 2015 - Whitefish to Ferndale &lt;/span&gt;</t>
  </si>
  <si>
    <t>Tuesday, June 16, 2015 Ferndale to Holland Lake, MT&lt;/span&gt;</t>
  </si>
  <si>
    <t>Wednesday, June 17, 2015 to &lt;/p&gt;</t>
  </si>
  <si>
    <t>Thursday, June 18, 2015 Ovando to Priest Pass&lt;/p&gt;</t>
  </si>
  <si>
    <t>Friday, June 19, 2015 Priest Pass to Helena&lt;/p&gt;</t>
  </si>
  <si>
    <t>Saturday, June 20, 2015 Helena to Butte, MT&lt;/p&gt;</t>
  </si>
  <si>
    <t>Sunday, June 21, 2015 Butte to Wise River, MT&lt;/p&gt;</t>
  </si>
  <si>
    <t>Monday, June 22, 2015 Wise River to Lima, MT</t>
  </si>
  <si>
    <t>Tuesday, June 23, 2015 Lima, MT to Mack's Inn, ID</t>
  </si>
  <si>
    <t>9:59AM, 6h48min, 62.4 miles, 4,814 ft of climbing</t>
  </si>
  <si>
    <t>7:10am, 9h48min, 52.3 miles, 2,490 ft of climbing</t>
  </si>
  <si>
    <t>left at 8:16am, 3h30min, 30.7 miles, 1,562 ft of climbing</t>
  </si>
  <si>
    <t>left at 7:02am, 9h13m, 72.8 miles, 5,091 ft of climbing</t>
  </si>
  <si>
    <t>left at 7:40am, 7h48m, 59.8 miles, 4,548 ft of climbing</t>
  </si>
  <si>
    <t>left at 6:57am, 9hr28m, 94.7 miles, 5,833 ft of climbing</t>
  </si>
  <si>
    <t>left at 11:45am, 3h54m, 47.3 miles, 986 ft of climbing</t>
  </si>
  <si>
    <t>8:45 AM, 8h49min, 60.34 miles, 5,574 ft of climbing</t>
  </si>
  <si>
    <t>6:55 AM, 15h10min, 86.70 miles, 8,000 ft of climbing</t>
  </si>
  <si>
    <t>5:57am, 1h06mmin, 15.9 miles, 262 ft of climbing</t>
  </si>
  <si>
    <t>8:45 AM, 8h57min, 50.60 miles, 2,960 ft of climbing</t>
  </si>
  <si>
    <t>6:56AM, 13h54min, 78.90 miles, 9,300 ft of climbing</t>
  </si>
  <si>
    <t xml:space="preserve">     There is no "last" hill</t>
  </si>
  <si>
    <t xml:space="preserve">     Mornings are for going up</t>
  </si>
  <si>
    <t xml:space="preserve">      Mornings are for going up</t>
  </si>
  <si>
    <t xml:space="preserve">     By far the hardest day.</t>
  </si>
  <si>
    <t xml:space="preserve">     Taking the road less traveled by TD riders</t>
  </si>
  <si>
    <t>section</t>
  </si>
  <si>
    <t>section-heading</t>
  </si>
  <si>
    <t>picparablock6x6</t>
  </si>
  <si>
    <t>para</t>
  </si>
  <si>
    <t>&lt;p&gt;It didn’t come close to fitting my comically large head but after removing the padding and popping it        on top        of my hat it seemed like it might work even if it looks ridiculous. Next I added a tube to my tubeless tire and decided I needed to fill up the front also. &lt;br&gt;This caused another dilemma when I used up 3 CO2 canisters because the valve kept coming out of the front tire. Totally frustrated.</t>
  </si>
  <si>
    <t>elevsumm</t>
  </si>
  <si>
    <t>elevmap</t>
  </si>
  <si>
    <t>sectionid</t>
  </si>
  <si>
    <t xml:space="preserve">  ]</t>
  </si>
  <si>
    <t xml:space="preserve"> },</t>
  </si>
  <si>
    <t xml:space="preserve">  {</t>
  </si>
  <si>
    <t xml:space="preserve">    {</t>
  </si>
  <si>
    <t xml:space="preserve">    },</t>
  </si>
  <si>
    <t xml:space="preserve">    }</t>
  </si>
  <si>
    <t xml:space="preserve">   ],</t>
  </si>
  <si>
    <t xml:space="preserve">  },</t>
  </si>
  <si>
    <t xml:space="preserve"> "trip"</t>
  </si>
  <si>
    <t xml:space="preserve"> {</t>
  </si>
  <si>
    <t xml:space="preserve">  "TripId"</t>
  </si>
  <si>
    <t xml:space="preserve">  "nav"</t>
  </si>
  <si>
    <t xml:space="preserve">  "id"</t>
  </si>
  <si>
    <t xml:space="preserve">  "jsonFile"</t>
  </si>
  <si>
    <t xml:space="preserve">  "backgroundImg"</t>
  </si>
  <si>
    <t xml:space="preserve">  "tripThumb"</t>
  </si>
  <si>
    <t xml:space="preserve">  "pageLink"</t>
  </si>
  <si>
    <t xml:space="preserve">  "pageTitle"</t>
  </si>
  <si>
    <t xml:space="preserve">  "pageSubtitle"</t>
  </si>
  <si>
    <t xml:space="preserve">  "tripSumm"</t>
  </si>
  <si>
    <t xml:space="preserve">  "summ"</t>
  </si>
  <si>
    <t xml:space="preserve">  "intro"</t>
  </si>
  <si>
    <t xml:space="preserve">  "introDescr"</t>
  </si>
  <si>
    <t xml:space="preserve">  "introPic1"</t>
  </si>
  <si>
    <t xml:space="preserve">  "introPic1span"</t>
  </si>
  <si>
    <t xml:space="preserve">  "introPic2"</t>
  </si>
  <si>
    <t xml:space="preserve">  "introPic2span"</t>
  </si>
  <si>
    <t xml:space="preserve">  "videoLink"</t>
  </si>
  <si>
    <t xml:space="preserve">  "videoIframe"</t>
  </si>
  <si>
    <t xml:space="preserve">  "foot"</t>
  </si>
  <si>
    <t xml:space="preserve">  "footerPic1"</t>
  </si>
  <si>
    <t xml:space="preserve">  "footerPic2"</t>
  </si>
  <si>
    <t xml:space="preserve">  "footPic1Span"</t>
  </si>
  <si>
    <t xml:space="preserve">  "endMap"</t>
  </si>
  <si>
    <t xml:space="preserve">  "endmapName"</t>
  </si>
  <si>
    <t xml:space="preserve">  "days"</t>
  </si>
  <si>
    <t xml:space="preserve"> [</t>
  </si>
  <si>
    <t xml:space="preserve"> "adventureDay"</t>
  </si>
  <si>
    <t xml:space="preserve">   "dayId"</t>
  </si>
  <si>
    <t xml:space="preserve">   "h1title"</t>
  </si>
  <si>
    <t xml:space="preserve">   "h3"</t>
  </si>
  <si>
    <t xml:space="preserve">   "pdate"</t>
  </si>
  <si>
    <t xml:space="preserve">   "pdesc"</t>
  </si>
  <si>
    <t xml:space="preserve">   "pdescLink1"</t>
  </si>
  <si>
    <t xml:space="preserve">   "pdescLinktag1"</t>
  </si>
  <si>
    <t xml:space="preserve">   "pdesc2"</t>
  </si>
  <si>
    <t xml:space="preserve">   "pdescLink2"</t>
  </si>
  <si>
    <t xml:space="preserve">   "pdescLinktag2"</t>
  </si>
  <si>
    <t xml:space="preserve">   "pdesc3"</t>
  </si>
  <si>
    <t xml:space="preserve">   "pdescLink3"</t>
  </si>
  <si>
    <t xml:space="preserve">   "pdescLinktag3"</t>
  </si>
  <si>
    <t xml:space="preserve">   "mappic"</t>
  </si>
  <si>
    <t xml:space="preserve">   "mappicport"</t>
  </si>
  <si>
    <t xml:space="preserve">   "mapspan"</t>
  </si>
  <si>
    <t xml:space="preserve">   "pictures"</t>
  </si>
  <si>
    <t xml:space="preserve">     "picID"</t>
  </si>
  <si>
    <t xml:space="preserve">     "pic"</t>
  </si>
  <si>
    <t xml:space="preserve">     "piccap"</t>
  </si>
  <si>
    <t xml:space="preserve">     "pictop"</t>
  </si>
  <si>
    <t xml:space="preserve">     "picbotm"</t>
  </si>
  <si>
    <t xml:space="preserve">   "iframe"</t>
  </si>
  <si>
    <t xml:space="preserve">   "smugAlbum"</t>
  </si>
  <si>
    <t xml:space="preserve">   "smugAlbumName"</t>
  </si>
  <si>
    <t>Day 1</t>
  </si>
  <si>
    <t>block</t>
  </si>
  <si>
    <t xml:space="preserve">     &lt;span class="meta"&gt;Posted by &lt;a href="#"&gt;Jim O'Brien&lt;/a&gt;  &lt;br&gt;</t>
  </si>
  <si>
    <t xml:space="preserve">      A Journey of a Thousand Miles begins with a single step&lt;br&gt;</t>
  </si>
  <si>
    <t xml:space="preserve">      A Journey of &lt;b&gt;Three Thousand Miles&lt;/b&gt; begins with a single pedal stroke</t>
  </si>
  <si>
    <t>"../img/tourdivide/day01/day01pic06.jpg" alt=""&gt;</t>
  </si>
  <si>
    <t xml:space="preserve">    &lt;p&gt;     Once out of town the fun (and the walking) began. Probably walked five times in the first 12 miles.     After two hours I had covered 12 miles.     Some quick extrapolation and it appeared I was going to &lt;b&gt;finish 2,700 miles in October.&lt;/b&gt;    &lt;/p&gt;</t>
  </si>
  <si>
    <t xml:space="preserve">    &lt;p&gt; The first 40 miles was a gradual climb. I would learn this was the way of the world.&lt;br&gt; I struggled to     climb but figured I would adapt. Shoes and feet were holding up with the walking which was a     good thing. I was already thinking I had to cut some weight and the running shoes could go if I could walk in     the Sidi bike shoes.    &lt;/p&gt;</t>
  </si>
  <si>
    <t>"../img/tourdivide/day01/day01pic03.jpg" alt="" style="width:95%"&gt;</t>
  </si>
  <si>
    <t xml:space="preserve">    &lt;p&gt;In the afternoon I meet people coming north (NOBOs). I was a SOBO. Two very young guys from New Zealand who     were on their 35th     and last day coming north and a woman who had ridden from the border (Roosville) to get to the start of the     race on Friday.     The guys on their final day had covered about the same distance as I had during the day which made me feel     better.&lt;br&gt;</t>
  </si>
  <si>
    <t>"../img/tourdivide/day01/day01pic04.jpg" alt="" style="width:95%"&gt;</t>
  </si>
  <si>
    <t xml:space="preserve">     This was about the time I was going to start going downhill so the day got better with the last 20 miles much     easier     than the first. I rolled into Bolton Creek campground about 6pm and realized the first rule of the Tour Divide     (TD).     You always go up at the end of the day. The office was lower than the shower which was lower than the actual     camp spot.     &lt;br&gt;     The camp was being harassed by a grizzly so the only person &lt;b&gt; not &lt;/b&gt; encased in a steel can would need     to be careful. I guess grizzlies don’t know that $350,000 motor homes have a lot more food     than a biker. So after a relatively good day I was presented with my first real issues.     &lt;br&gt; &amp;nbsp;&amp;nbsp;&amp;nbsp;&amp;nbsp;&amp;#8226;&amp;nbsp; One of my "notube" tires was pretty flat,     &lt;br&gt; &amp;nbsp;&amp;nbsp;&amp;nbsp;&amp;nbsp;&amp;#8226;&amp;nbsp; I was getting eaten by mosquitoes&lt;br&gt;     &amp;nbsp;&amp;nbsp;&amp;nbsp;&amp;nbsp;&amp;#8226;&amp;nbsp; And when I had stopped to take a shower I had left my bike helmet by the     bathroom.     &lt;br&gt;&lt;br&gt; I raced back to the office to get some Off spray, but when I went looking for my helmet it was gone.     So now I was 100 miles from the nearest bike shop with flat tires and no helmet.     &lt;br&gt;&lt;br&gt; Somewhere along the way I sent out my first end of day message to my family. &lt;b&gt;&gt;&lt;u&gt;"This is      Jim and I am at the end of another amazing day on the Tour Divide"&lt;/u&gt;&lt;/b&gt;    &lt;/p&gt;</t>
  </si>
  <si>
    <t>"../img/tourdivide/day01/day01pic05.jpg" alt=""&gt;</t>
  </si>
  <si>
    <t xml:space="preserve">    &lt;span class="caption text-muted" style="font-size: medium; font-weight: bold"&gt;To go places and do things that I've never done before                            – that’s what living is all about.&lt;/span&gt;    &lt;iframe src="https://www.google.com/maps/d/embed?mid=z16rO1nf9OsU.k-PI-urLMEWE" width="800" height="640"&gt;    &lt;/iframe&gt;    &lt;a href="https://www.google.com/maps/d/edit?mid=z16rO1nf9OsU.k-PI-urLMEWE&amp;usp=sharing"&gt;     See full screen map    &lt;/a&gt;    &lt;p&gt;Text by &lt;a href="http://www.havingadventures.com/"&gt;Jim O'Brien&lt;/a&gt;.     Photographs by Jim O'Brien, see additional photos of the &lt;a href="https://flic.kr/s/aHsk9CwBC1"&gt;Tour Divide on      Flickr&lt;/a&gt;.    &lt;/p&gt;   &lt;/div&gt;&lt;!-- /.col-sm-12 blog-main --&gt;  &lt;/div&gt;&lt;!-- /.blog-post --&gt; &lt;/div&gt;&lt;!-- /.row --&gt; &lt;/div&gt;&lt;!-- /.container --&gt;&lt;/article&gt;</t>
  </si>
  <si>
    <t xml:space="preserve">                            – that’s what living is all about.&lt;/span&gt;    &lt;iframe src="https://www.google.com/maps/d/embed?mid=z16rO1nf9OsU.k-PI-urLMEWE" width="800" height="640"&gt;    &lt;/iframe&gt;    &lt;a href="https://www.google.com/maps/d/edit?mid=z16rO1nf9OsU.k-PI-urLMEWE&amp;usp=sharing"&gt;     See full screen map    &lt;/a&gt;    &lt;p&gt;Text by &lt;a href="http://www.havingadventures.com/"&gt;Jim O'Brien&lt;/a&gt;.     Photographs by Jim O'Brien, see additional photos of the &lt;a href="https://flic.kr/s/aHsk9CwBC1"&gt;Tour Divide on      Flickr&lt;/a&gt;.    &lt;/p&gt;   &lt;/div&gt;&lt;!-- /.col-sm-12 blog-main --&gt;  &lt;/div&gt;&lt;!-- /.blog-post --&gt; &lt;/div&gt;&lt;!-- /.row --&gt; &lt;/div&gt;&lt;!-- /.container --&gt;&lt;/article&gt;</t>
  </si>
  <si>
    <t>"content"</t>
  </si>
  <si>
    <t>"author"</t>
  </si>
  <si>
    <t>"Jim Obrien"</t>
  </si>
  <si>
    <t>"title"</t>
  </si>
  <si>
    <t>"Jim TD Day01"</t>
  </si>
  <si>
    <t>"not used"</t>
  </si>
  <si>
    <t>20150609-01</t>
  </si>
  <si>
    <t>The First 40 miles</t>
  </si>
  <si>
    <t>2015TD01</t>
  </si>
  <si>
    <t>ha-TD01</t>
  </si>
  <si>
    <t>twopicblock6x6Pic1</t>
  </si>
  <si>
    <t>twopicblock6x6Pic2</t>
  </si>
  <si>
    <t>picparablock6x6Pic1</t>
  </si>
  <si>
    <t>picparablock6x6Para</t>
  </si>
  <si>
    <t>https://awesomescreenshot.s3.amazonaws.com/image/2664617/18796628-70aa0e6d06741f6c2ab118be358d974f.png?X-Amz-Algorithm=AWS4-HMAC-SHA256&amp;X-Amz-Credential=AKIAJSCJQ2NM3XLFPVKA%2F20211219%2Fus-east-1%2Fs3%2Faws4_request&amp;X-Amz-Date=20211219T020652Z&amp;X-Amz-Expires=28800&amp;X-Amz-SignedHeaders=host&amp;X-Amz-Signature=b6600f2ca6552406e2bd8c75f0246cb2e5312ec5e820fadef8d5bd1bf7912fdf</t>
  </si>
  <si>
    <t>http://localhost:63342/havingadventures.com/adventures/Day07WallaWallaWAClarkstonWALC7.png</t>
  </si>
  <si>
    <t xml:space="preserve"> ],</t>
  </si>
  <si>
    <t xml:space="preserve"> ]</t>
  </si>
  <si>
    <t>}</t>
  </si>
  <si>
    <t xml:space="preserve"> "HeaderData"</t>
  </si>
  <si>
    <t xml:space="preserve">   "ahref"</t>
  </si>
  <si>
    <t xml:space="preserve"> "ss2sg15.html",</t>
  </si>
  <si>
    <t xml:space="preserve">   "h2posttitle"</t>
  </si>
  <si>
    <t xml:space="preserve"> "Week 15 - Wide open spaces",</t>
  </si>
  <si>
    <t xml:space="preserve">   "h3postsubtitle"</t>
  </si>
  <si>
    <t xml:space="preserve"> "Leaving Montana (finally)",</t>
  </si>
  <si>
    <t xml:space="preserve">   "ppostmetadate"</t>
  </si>
  <si>
    <t xml:space="preserve"> "Tuesday, June 23, 2015 Lima to Macks Inn",</t>
  </si>
  <si>
    <t xml:space="preserve">   "h4summ"</t>
  </si>
  <si>
    <t xml:space="preserve"> "ss2sg16.html",</t>
  </si>
  <si>
    <t xml:space="preserve"> "Week 16 - Scenic Byway and some assistance",</t>
  </si>
  <si>
    <t xml:space="preserve"> "Past Mesa Falls towards the Tetons",</t>
  </si>
  <si>
    <t xml:space="preserve"> "Wednesday, June 24, 2015 Island Park to Flagg Ranch, WY",</t>
  </si>
  <si>
    <t xml:space="preserve"> "ss2sg17.html",</t>
  </si>
  <si>
    <t xml:space="preserve"> "Week 17 - Grand Teton NP in AM, Togwotee in PM",</t>
  </si>
  <si>
    <t xml:space="preserve"> "Lost tourists and finding hidden lakes",</t>
  </si>
  <si>
    <t xml:space="preserve"> "Thursday, June 25, 2015 Flagg Ranch to Lava Mountain Lodge, WY",</t>
  </si>
  <si>
    <t xml:space="preserve"> "ss2sg18.html",</t>
  </si>
  <si>
    <t xml:space="preserve"> "Week 18 - Union Pass only better",</t>
  </si>
  <si>
    <t xml:space="preserve"> "The Devils Hole Trail and riding the divide",</t>
  </si>
  <si>
    <t xml:space="preserve"> "Friday, June 26, 2015 Lava Mountain Lodge to Pinedale, WY",</t>
  </si>
  <si>
    <t xml:space="preserve"> "ss2sg19.html",</t>
  </si>
  <si>
    <t xml:space="preserve"> "Week 19 - Wyoming - after the mountains",</t>
  </si>
  <si>
    <t xml:space="preserve"> "A long, hot Week in the desert",</t>
  </si>
  <si>
    <t xml:space="preserve"> "Saturday, June 27, 2015  Pinedale to Atlantic City, WY",</t>
  </si>
  <si>
    <t xml:space="preserve"> "ss2sg20.html",</t>
  </si>
  <si>
    <t xml:space="preserve"> "Week 20 - Another long Week in Wyomings Great Basin",</t>
  </si>
  <si>
    <t xml:space="preserve"> "Water supply and disappearing jeep trails",</t>
  </si>
  <si>
    <t xml:space="preserve"> "Sunday, June 28, 2015 Atlantic City to Wamsutter, WY",</t>
  </si>
  <si>
    <t xml:space="preserve"> "ss2sg21.html",</t>
  </si>
  <si>
    <t xml:space="preserve"> "Week 21 - Brush Mountain Lodge",</t>
  </si>
  <si>
    <t xml:space="preserve"> "My birthWeek in a slice of heaven",</t>
  </si>
  <si>
    <t xml:space="preserve"> "Monday, June 29, 2015 - Wamsutter, WY to Brush Mtn Lodge, CO",</t>
  </si>
  <si>
    <t xml:space="preserve"> "ss2sg22.html",</t>
  </si>
  <si>
    <t xml:space="preserve"> "Week 22 - Colorado Mountains",</t>
  </si>
  <si>
    <t xml:space="preserve"> "Long steady climbs and descents",</t>
  </si>
  <si>
    <t xml:space="preserve"> "Tuesday, June 30, 2015 Brush Mountain Lodge to Steamboat Springs, CO",</t>
  </si>
  <si>
    <t xml:space="preserve"> "ss2sg23.html",</t>
  </si>
  <si>
    <t xml:space="preserve"> "Week 23 - A long Week out on the road",</t>
  </si>
  <si>
    <t xml:space="preserve"> "A giant coast into Kremmling and mind games",</t>
  </si>
  <si>
    <t xml:space="preserve"> "Wednesday, July 1, 2015 Steamboat Springs to Dillon, CO",</t>
  </si>
  <si>
    <t xml:space="preserve"> "ss2sg24.html",</t>
  </si>
  <si>
    <t xml:space="preserve"> "Week 24 - Dillon Reservoir, Breckenridge and Boreas Pass",</t>
  </si>
  <si>
    <t xml:space="preserve"> "Highest pass on my tour",</t>
  </si>
  <si>
    <t xml:space="preserve"> "Thursday, July 2, 2015  Dillon to Hartsel, CO",</t>
  </si>
  <si>
    <t xml:space="preserve"> "ss2sg25.html",</t>
  </si>
  <si>
    <t xml:space="preserve"> "Week 25 - July weather",</t>
  </si>
  <si>
    <t xml:space="preserve"> "More afternoon rains and washboard roads",</t>
  </si>
  <si>
    <t xml:space="preserve"> "Friday, July 3, 2015 Hartsel to Salida, CO",</t>
  </si>
  <si>
    <t xml:space="preserve"> "ss2sg26.html",</t>
  </si>
  <si>
    <t xml:space="preserve"> "Week 26 - Marshall Pass and the Colorado Trail",</t>
  </si>
  <si>
    <t xml:space="preserve"> "Tepees, Rain and the 4th of July",</t>
  </si>
  <si>
    <t xml:space="preserve"> "Saturday, July 4, 2015 Salida to Sargents, CO",</t>
  </si>
  <si>
    <t xml:space="preserve"> "ss2sg27.html",</t>
  </si>
  <si>
    <t xml:space="preserve"> "Week 27 - Lighting and Thunder in the afternoon",</t>
  </si>
  <si>
    <t xml:space="preserve"> "Two passes and outrunning the rain",</t>
  </si>
  <si>
    <t xml:space="preserve"> "Sunday, July 5, 2015 Sargents to Del Norte, CO",</t>
  </si>
  <si>
    <t xml:space="preserve"> "ss2sg28.html",</t>
  </si>
  <si>
    <t xml:space="preserve"> "Week 28 - Getting some rest and plotting my course",</t>
  </si>
  <si>
    <t xml:space="preserve"> "The Library, Amish Cinnamon Rolls and Wild Boar",</t>
  </si>
  <si>
    <t xml:space="preserve"> "Monday, July 6, 2015 Del Norte",</t>
  </si>
  <si>
    <t xml:space="preserve"> "Sleeping in at the Windsor Hotel - zero ft of climbing"</t>
  </si>
  <si>
    <t xml:space="preserve">  }</t>
  </si>
  <si>
    <t xml:space="preserve"> "haPages"</t>
  </si>
  <si>
    <t xml:space="preserve">   "TripId"</t>
  </si>
  <si>
    <t xml:space="preserve"> "Week01",</t>
  </si>
  <si>
    <t xml:space="preserve">   "id"</t>
  </si>
  <si>
    <t xml:space="preserve"> "ss2sg01",</t>
  </si>
  <si>
    <t xml:space="preserve">   "pageLink"</t>
  </si>
  <si>
    <t xml:space="preserve"> "ss2sg01.html",</t>
  </si>
  <si>
    <t xml:space="preserve">   "pageTitle"</t>
  </si>
  <si>
    <t xml:space="preserve"> "Week 1 - Seaside, OR to Kooskia, ID - 8 days",</t>
  </si>
  <si>
    <t xml:space="preserve">   "h3SubTitle"</t>
  </si>
  <si>
    <t xml:space="preserve"> "Up the Columbia",</t>
  </si>
  <si>
    <t xml:space="preserve">   "pPostMeta"</t>
  </si>
  <si>
    <t xml:space="preserve"> "Tuesday, June 9, 2015 Banff, Alberta, Canada to Bolton Trading Post",</t>
  </si>
  <si>
    <t xml:space="preserve">   "h4DateStats"</t>
  </si>
  <si>
    <t xml:space="preserve">   "tripThumb"</t>
  </si>
  <si>
    <t xml:space="preserve"> "../img/ss2sg/202205seaside.jpg"</t>
  </si>
  <si>
    <t xml:space="preserve"> "Week02",</t>
  </si>
  <si>
    <t xml:space="preserve"> "ss2sg02",</t>
  </si>
  <si>
    <t xml:space="preserve"> "ss2sg02.html",</t>
  </si>
  <si>
    <t xml:space="preserve"> "Week 2 - Kooskia, ID to Cameron, MT - 7 days",</t>
  </si>
  <si>
    <t xml:space="preserve"> "Across the Great Divide",</t>
  </si>
  <si>
    <t xml:space="preserve"> "Wednesday, June 10, 2015 Bolton Trading Post to Elkford, BC",</t>
  </si>
  <si>
    <t xml:space="preserve"> "../img/ss2sg/Lewiston_and_Clarkston.jpg"</t>
  </si>
  <si>
    <t xml:space="preserve"> "Week03",</t>
  </si>
  <si>
    <t xml:space="preserve"> "ss2sg0 3",</t>
  </si>
  <si>
    <t xml:space="preserve"> "ss2sg03.html",</t>
  </si>
  <si>
    <t xml:space="preserve"> "Week 3 - Cameron, MT thru Yellowstone and the Bighorn Mtns",</t>
  </si>
  <si>
    <t xml:space="preserve"> "Another short ride and then some maintenance",</t>
  </si>
  <si>
    <t xml:space="preserve"> "Thursday, June 11, 2015 Elkford to Sparwood",</t>
  </si>
  <si>
    <t xml:space="preserve"> "../img/ss2sg/TenSleep.jpg"</t>
  </si>
  <si>
    <t xml:space="preserve"> "Week04",</t>
  </si>
  <si>
    <t xml:space="preserve"> "ss2sg0 4",</t>
  </si>
  <si>
    <t xml:space="preserve"> "ss2sg04.html",</t>
  </si>
  <si>
    <t xml:space="preserve"> "Week 04 - Rushmore to Omaha",</t>
  </si>
  <si>
    <t xml:space="preserve"> "All along the Missouri River",</t>
  </si>
  <si>
    <t xml:space="preserve"> "Friday, June 12, 2015 Sparwood to part way up Cabin Pass",</t>
  </si>
  <si>
    <t xml:space="preserve"> "../img/ss2sg/tdThumbs/day04pic00.JPG"</t>
  </si>
  <si>
    <t xml:space="preserve"> "Week05",</t>
  </si>
  <si>
    <t xml:space="preserve"> "ss2sg0 5",</t>
  </si>
  <si>
    <t xml:space="preserve"> "ss2sg05.html",</t>
  </si>
  <si>
    <t xml:space="preserve"> "Week 5 - Cabin Pass, The Wall (WTF) and Galton Pass",</t>
  </si>
  <si>
    <t xml:space="preserve"> "Last Week in Canada and it's a good one",</t>
  </si>
  <si>
    <t xml:space="preserve"> "Saturday, June 13, 2015 Cabin Pass to Eureka, MT, USA",</t>
  </si>
  <si>
    <t xml:space="preserve"> "../img/ss2sg/tdThumbs/day05pic00.JPG"</t>
  </si>
  <si>
    <t xml:space="preserve"> "Week06",</t>
  </si>
  <si>
    <t xml:space="preserve"> "ss2sg0 6",</t>
  </si>
  <si>
    <t xml:space="preserve"> "ss2sg06.html",</t>
  </si>
  <si>
    <t xml:space="preserve"> "Week 6 - Whitefish Pass and Red Meadow Lake",</t>
  </si>
  <si>
    <t xml:space="preserve"> "Now I know why you don't use tubes",</t>
  </si>
  <si>
    <t xml:space="preserve"> "Sunday, June 14, 2015 Eureka to Whitefish Lake, MT",</t>
  </si>
  <si>
    <t xml:space="preserve"> "../img/ss2sg/tdThumbs/day06pic00.JPG"</t>
  </si>
  <si>
    <t xml:space="preserve"> "Week07",</t>
  </si>
  <si>
    <t xml:space="preserve"> "ss2sg0 7",</t>
  </si>
  <si>
    <t xml:space="preserve"> "ss2sg07.html",</t>
  </si>
  <si>
    <t xml:space="preserve"> "Week 07 - Flat 40 miles to nice B&amp;B",</t>
  </si>
  <si>
    <t xml:space="preserve"> "A partial rest, laundry and an easy 47 including an extra 4",</t>
  </si>
  <si>
    <t xml:space="preserve"> "Monday, June 15, 2015 Whitefish to Ferndale, MT",</t>
  </si>
  <si>
    <t xml:space="preserve"> "../img/ss2sg/tdThumbs/day07pic00.JPG"</t>
  </si>
  <si>
    <t xml:space="preserve"> "Week08",</t>
  </si>
  <si>
    <t xml:space="preserve"> "ss2sg0 8",</t>
  </si>
  <si>
    <t xml:space="preserve"> "ss2sg08.html",</t>
  </si>
  <si>
    <t xml:space="preserve"> "Week 08 - Grizzly Country and climbs just for fun",</t>
  </si>
  <si>
    <t xml:space="preserve"> "Tough climbs, a nice ride until washboard - great setting at the end",</t>
  </si>
  <si>
    <t xml:space="preserve"> "Tuesday, June 16, 2015 Ferndale to Holland Lake, MT",</t>
  </si>
  <si>
    <t xml:space="preserve"> "../img/ss2sg/tdThumbs/day08pic00.JPG"</t>
  </si>
  <si>
    <t xml:space="preserve"> "9:59AM, 6h48m, 62.4 miles, 4,814 ft of climbing",</t>
  </si>
  <si>
    <t xml:space="preserve"> "7:10am, 9h48m, 52.3 miles, 2,490 ft of climbing",</t>
  </si>
  <si>
    <t xml:space="preserve"> "7:16am, 3h30m, 30.7 miles, 1,562 ft of climbing",</t>
  </si>
  <si>
    <t xml:space="preserve"> "7:02am, 7h56m, 72.8 miles, 4,557 ft of climbing",</t>
  </si>
  <si>
    <t xml:space="preserve"> "7:39am, 7h40m, 59.8 miles, 4,548 ft of climbing",</t>
  </si>
  <si>
    <t xml:space="preserve"> "5:57am, 10h3m, 94.7 miles, 5,833 ft of climbing",</t>
  </si>
  <si>
    <t xml:space="preserve"> "11:38am, 3h55m, 47.3 miles, 986 ft of climbing",</t>
  </si>
  <si>
    <t xml:space="preserve"> "left at 8:39am, 8h24m, 71.8 miles, 5,697 ft of climbing",</t>
  </si>
  <si>
    <t xml:space="preserve"> "7:23am, 14h 15mm, 89 miles, 2,566 ft of climbing"</t>
  </si>
  <si>
    <t xml:space="preserve"> "8:14 AM 81.1mi 3,374ft"</t>
  </si>
  <si>
    <t xml:space="preserve"> "08:14 AM, 61.8mi, 4,042ft of climbing"</t>
  </si>
  <si>
    <t xml:space="preserve"> "6:24 AM 82.6mi 4,157ft of climbing"</t>
  </si>
  <si>
    <t xml:space="preserve"> "07:52 AM, 87.7mi, 3,560ft of climbing"</t>
  </si>
  <si>
    <t xml:space="preserve"> "07:15 AM, 97.9mi, 2,712ft of climbing"</t>
  </si>
  <si>
    <t xml:space="preserve"> "7:06 AM 81.9mi 3,928ft of climbing"</t>
  </si>
  <si>
    <t xml:space="preserve"> "07:55 AM, 50.5mi, 3,220ft of climbing"</t>
  </si>
  <si>
    <t xml:space="preserve"> "06:55 AM, 108.7mi, 6,441ft of climbing"</t>
  </si>
  <si>
    <t xml:space="preserve"> "7:00 AM 68.0mi  3,507ft of climbing"</t>
  </si>
  <si>
    <t xml:space="preserve"> "7:51 AM 48.4mi 2,300ft of climbing"</t>
  </si>
  <si>
    <t xml:space="preserve"> "07:30 AM, 46.4mi, 4,382ft of climbing"</t>
  </si>
  <si>
    <t xml:space="preserve"> "07:49 AM, 101.0mi, 5,182ft of climbing"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</si>
</sst>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1">
    <font>
      <sz val="11"/>
      <color theme="1"/>
      <name val="Calibri"/>
      <family val="2"/>
      <scheme val="minor"/>
    </font>
    <font>
      <sz val="9.8000000000000007"/>
      <color rgb="FF000000"/>
      <name val="Consolas"/>
      <family val="3"/>
    </font>
    <font>
      <b/>
      <sz val="9.8000000000000007"/>
      <color rgb="FF000080"/>
      <name val="Consolas"/>
      <family val="3"/>
    </font>
    <font>
      <b/>
      <sz val="9.8000000000000007"/>
      <color rgb="FF0000FF"/>
      <name val="Consolas"/>
      <family val="3"/>
    </font>
    <font>
      <b/>
      <sz val="9.8000000000000007"/>
      <color rgb="FF008000"/>
      <name val="Consolas"/>
      <family val="3"/>
    </font>
    <font>
      <i/>
      <sz val="9.8000000000000007"/>
      <color rgb="FF808080"/>
      <name val="Consolas"/>
      <family val="3"/>
    </font>
    <font>
      <sz val="9.8000000000000007"/>
      <color rgb="FF0000FF"/>
      <name val="Consolas"/>
      <family val="3"/>
    </font>
    <font>
      <sz val="9.8000000000000007"/>
      <color rgb="FF7A7A43"/>
      <name val="Consolas"/>
      <family val="3"/>
    </font>
    <font>
      <b/>
      <sz val="13.5"/>
      <color theme="1"/>
      <name val="Calibri"/>
      <family val="2"/>
      <scheme val="minor"/>
    </font>
    <font>
      <sz val="9.8000000000000007"/>
      <color rgb="FF080808"/>
      <name val="JetBrains Mono"/>
      <family val="3"/>
    </font>
    <font>
      <sz val="9.8000000000000007"/>
      <color rgb="FF067D17"/>
      <name val="JetBrains Mono"/>
      <family val="3"/>
    </font>
  </fonts>
  <fills count="4">
    <fill>
      <patternFill patternType="none"/>
    </fill>
    <fill>
      <patternFill patternType="gray125"/>
    </fill>
    <fill>
      <patternFill patternType="solid">
        <fgColor rgb="FFFFFFFF"/>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4">
    <xf numFmtId="0" fontId="0" fillId="0" borderId="0" xfId="0"/>
    <xf numFmtId="0" fontId="1" fillId="0" borderId="0" xfId="0" applyFont="1" applyAlignment="1">
      <alignment vertical="center"/>
    </xf>
    <xf numFmtId="0" fontId="5" fillId="2" borderId="0" xfId="0" applyFont="1" applyFill="1" applyAlignment="1">
      <alignment vertical="center"/>
    </xf>
    <xf numFmtId="0" fontId="1" fillId="2" borderId="0" xfId="0" applyFont="1" applyFill="1" applyAlignment="1">
      <alignment vertical="center"/>
    </xf>
    <xf numFmtId="0" fontId="4" fillId="2" borderId="0" xfId="0" applyFont="1" applyFill="1" applyAlignment="1">
      <alignment vertical="center"/>
    </xf>
    <xf numFmtId="0" fontId="2" fillId="2" borderId="0" xfId="0" applyFont="1" applyFill="1" applyAlignment="1">
      <alignment vertical="center"/>
    </xf>
    <xf numFmtId="0" fontId="0" fillId="2" borderId="0" xfId="0" applyFill="1" applyAlignment="1">
      <alignment vertical="center"/>
    </xf>
    <xf numFmtId="14" fontId="0" fillId="0" borderId="0" xfId="0" applyNumberFormat="1"/>
    <xf numFmtId="0" fontId="1" fillId="3" borderId="0" xfId="0" applyFont="1" applyFill="1" applyAlignment="1">
      <alignment vertical="center"/>
    </xf>
    <xf numFmtId="0" fontId="8" fillId="0" borderId="0" xfId="0" applyFont="1" applyAlignment="1">
      <alignment vertical="center"/>
    </xf>
    <xf numFmtId="0" fontId="4" fillId="0" borderId="0" xfId="0" applyFont="1" applyAlignment="1">
      <alignment vertical="center"/>
    </xf>
    <xf numFmtId="0" fontId="9" fillId="0" borderId="0" xfId="0" applyFont="1" applyAlignment="1">
      <alignment vertical="center"/>
    </xf>
    <xf numFmtId="0" fontId="10" fillId="2" borderId="0" xfId="0" applyFont="1" applyFill="1" applyAlignment="1">
      <alignment vertical="center"/>
    </xf>
    <xf numFmtId="0" fontId="9" fillId="2" borderId="0" xfId="0" applyFont="1" applyFill="1" applyAlignment="1">
      <alignment vertic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4519C33-31DB-48E4-AF3D-11ACD5933C5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19C50-B4D5-4A7D-98AB-9E44F8B16C4D}">
  <dimension ref="B2:L717"/>
  <sheetViews>
    <sheetView topLeftCell="A64" workbookViewId="0">
      <selection activeCell="B89" sqref="B89"/>
    </sheetView>
  </sheetViews>
  <sheetFormatPr defaultRowHeight="15"/>
  <cols>
    <col min="2" max="2" width="99" bestFit="1" customWidth="1"/>
    <col min="4" max="4" width="20" customWidth="1"/>
    <col min="10" max="10" width="55.42578125" customWidth="1"/>
  </cols>
  <sheetData>
    <row r="2" spans="2:12">
      <c r="B2" t="s">
        <v>0</v>
      </c>
      <c r="D2" t="s">
        <v>0</v>
      </c>
    </row>
    <row r="3" spans="2:12">
      <c r="B3" t="s">
        <v>1</v>
      </c>
      <c r="D3" t="s">
        <v>1</v>
      </c>
    </row>
    <row r="4" spans="2:12">
      <c r="B4" t="s">
        <v>2</v>
      </c>
      <c r="D4" t="s">
        <v>2</v>
      </c>
    </row>
    <row r="5" spans="2:12">
      <c r="B5" t="s">
        <v>3</v>
      </c>
      <c r="D5" t="s">
        <v>3</v>
      </c>
    </row>
    <row r="6" spans="2:12">
      <c r="B6" t="s">
        <v>4</v>
      </c>
      <c r="D6" t="s">
        <v>4</v>
      </c>
      <c r="J6" t="str">
        <f>RIGHT(B6,LEN(B6)-FIND("&lt;!--",B6)-3)</f>
        <v xml:space="preserve"> Day 1--&gt;</v>
      </c>
      <c r="K6" t="s">
        <v>145</v>
      </c>
      <c r="L6" s="1" t="s">
        <v>126</v>
      </c>
    </row>
    <row r="7" spans="2:12">
      <c r="B7" t="s">
        <v>5</v>
      </c>
      <c r="D7" t="s">
        <v>5</v>
      </c>
      <c r="J7" t="str">
        <f>RIGHT(B7,LEN(B7)-FIND("&lt;a href=",B7)-7)</f>
        <v>"tourdivide01.html"&gt;</v>
      </c>
      <c r="K7" t="s">
        <v>146</v>
      </c>
      <c r="L7" s="2" t="s">
        <v>127</v>
      </c>
    </row>
    <row r="8" spans="2:12">
      <c r="B8" t="s">
        <v>6</v>
      </c>
      <c r="D8" t="s">
        <v>6</v>
      </c>
      <c r="L8" s="3" t="s">
        <v>128</v>
      </c>
    </row>
    <row r="9" spans="2:12">
      <c r="B9" t="s">
        <v>7</v>
      </c>
      <c r="D9" t="s">
        <v>7</v>
      </c>
      <c r="J9" t="str">
        <f>TRIM(+B9)</f>
        <v>Day 1 - Leaving Banff was the easy part.</v>
      </c>
      <c r="K9" t="s">
        <v>147</v>
      </c>
      <c r="L9" s="3" t="s">
        <v>129</v>
      </c>
    </row>
    <row r="10" spans="2:12">
      <c r="B10" t="s">
        <v>8</v>
      </c>
      <c r="D10" t="s">
        <v>8</v>
      </c>
      <c r="L10" s="3" t="s">
        <v>130</v>
      </c>
    </row>
    <row r="11" spans="2:12">
      <c r="B11" t="s">
        <v>9</v>
      </c>
      <c r="D11" t="s">
        <v>9</v>
      </c>
      <c r="L11" s="3" t="s">
        <v>131</v>
      </c>
    </row>
    <row r="12" spans="2:12">
      <c r="B12" t="s">
        <v>10</v>
      </c>
      <c r="D12" t="s">
        <v>10</v>
      </c>
      <c r="J12" t="str">
        <f>TRIM(+B12)</f>
        <v>Those hills didn't look so steep in the pictures</v>
      </c>
      <c r="K12" t="s">
        <v>148</v>
      </c>
      <c r="L12" s="3" t="s">
        <v>132</v>
      </c>
    </row>
    <row r="13" spans="2:12">
      <c r="B13" t="s">
        <v>11</v>
      </c>
      <c r="D13" t="s">
        <v>11</v>
      </c>
      <c r="L13" s="3" t="s">
        <v>133</v>
      </c>
    </row>
    <row r="14" spans="2:12">
      <c r="B14" t="s">
        <v>12</v>
      </c>
      <c r="D14" t="s">
        <v>12</v>
      </c>
      <c r="L14" s="3" t="s">
        <v>134</v>
      </c>
    </row>
    <row r="15" spans="2:12">
      <c r="B15" t="s">
        <v>13</v>
      </c>
      <c r="D15" t="s">
        <v>13</v>
      </c>
      <c r="L15" s="3" t="s">
        <v>135</v>
      </c>
    </row>
    <row r="16" spans="2:12">
      <c r="B16" t="s">
        <v>14</v>
      </c>
      <c r="D16" t="s">
        <v>14</v>
      </c>
      <c r="J16" t="str">
        <f>TRIM(+B16)</f>
        <v>Tuesday, June 9, 2015 Banff, Alberta, Canada to Bolton Trading Post</v>
      </c>
      <c r="K16" t="s">
        <v>149</v>
      </c>
      <c r="L16" s="3" t="s">
        <v>136</v>
      </c>
    </row>
    <row r="17" spans="2:12">
      <c r="B17" t="s">
        <v>15</v>
      </c>
      <c r="D17" t="s">
        <v>15</v>
      </c>
      <c r="L17" s="3" t="s">
        <v>137</v>
      </c>
    </row>
    <row r="18" spans="2:12">
      <c r="B18" t="s">
        <v>16</v>
      </c>
      <c r="D18" t="s">
        <v>16</v>
      </c>
      <c r="L18" s="3" t="s">
        <v>138</v>
      </c>
    </row>
    <row r="19" spans="2:12">
      <c r="B19" t="s">
        <v>17</v>
      </c>
      <c r="D19" t="s">
        <v>17</v>
      </c>
      <c r="J19" t="str">
        <f>TRIM(+B19)</f>
        <v>9:59AM, 6h48m, 62.4 miles, 4,814 ft of climbing</v>
      </c>
      <c r="K19" t="s">
        <v>150</v>
      </c>
      <c r="L19" s="3" t="s">
        <v>139</v>
      </c>
    </row>
    <row r="20" spans="2:12">
      <c r="B20" t="s">
        <v>18</v>
      </c>
      <c r="D20" t="s">
        <v>18</v>
      </c>
      <c r="L20" s="3" t="s">
        <v>140</v>
      </c>
    </row>
    <row r="21" spans="2:12">
      <c r="B21" t="s">
        <v>5</v>
      </c>
      <c r="D21" t="s">
        <v>5</v>
      </c>
      <c r="J21" t="str">
        <f>RIGHT(B21,LEN(B21)-FIND("&lt;a href=",B21)-7)</f>
        <v>"tourdivide01.html"&gt;</v>
      </c>
      <c r="K21" t="s">
        <v>146</v>
      </c>
      <c r="L21" s="3" t="s">
        <v>141</v>
      </c>
    </row>
    <row r="22" spans="2:12">
      <c r="B22" t="s">
        <v>19</v>
      </c>
      <c r="D22" t="s">
        <v>19</v>
      </c>
      <c r="J22" t="str">
        <f>RIGHT(B22,LEN(B22)-FIND("src=",B22)-4)</f>
        <v>../img/tourdivide/day01/day01pic02.jpg" alt="" width="100%"&gt;</v>
      </c>
      <c r="K22" t="s">
        <v>151</v>
      </c>
      <c r="L22" s="3" t="s">
        <v>142</v>
      </c>
    </row>
    <row r="23" spans="2:12">
      <c r="B23" t="s">
        <v>12</v>
      </c>
      <c r="D23" t="s">
        <v>12</v>
      </c>
      <c r="L23" s="3" t="s">
        <v>134</v>
      </c>
    </row>
    <row r="24" spans="2:12">
      <c r="B24" t="s">
        <v>20</v>
      </c>
      <c r="D24" t="s">
        <v>20</v>
      </c>
      <c r="L24" s="3" t="s">
        <v>143</v>
      </c>
    </row>
    <row r="25" spans="2:12">
      <c r="B25" t="s">
        <v>21</v>
      </c>
      <c r="D25" t="s">
        <v>21</v>
      </c>
      <c r="L25" s="3" t="s">
        <v>144</v>
      </c>
    </row>
    <row r="26" spans="2:12">
      <c r="B26" t="s">
        <v>22</v>
      </c>
      <c r="D26" t="s">
        <v>22</v>
      </c>
      <c r="J26" t="str">
        <f>RIGHT(B26,LEN(B26)-FIND("&lt;!--",B26)-3)</f>
        <v xml:space="preserve"> Day 2--&gt;</v>
      </c>
      <c r="K26" t="s">
        <v>145</v>
      </c>
    </row>
    <row r="27" spans="2:12">
      <c r="B27" t="s">
        <v>23</v>
      </c>
      <c r="D27" t="s">
        <v>23</v>
      </c>
      <c r="J27" t="str">
        <f>RIGHT(B27,LEN(B27)-FIND("&lt;a href=",B27)-7)</f>
        <v>"tourdivide02.html"&gt;</v>
      </c>
      <c r="K27" t="s">
        <v>146</v>
      </c>
    </row>
    <row r="28" spans="2:12">
      <c r="B28" t="s">
        <v>6</v>
      </c>
      <c r="D28" t="s">
        <v>6</v>
      </c>
    </row>
    <row r="29" spans="2:12">
      <c r="B29" t="s">
        <v>24</v>
      </c>
      <c r="D29" t="s">
        <v>24</v>
      </c>
      <c r="J29" t="str">
        <f>TRIM(+B29)</f>
        <v>Day 2 - Tires and Helmets</v>
      </c>
      <c r="K29" t="s">
        <v>147</v>
      </c>
    </row>
    <row r="30" spans="2:12">
      <c r="B30" t="s">
        <v>8</v>
      </c>
      <c r="D30" t="s">
        <v>8</v>
      </c>
    </row>
    <row r="31" spans="2:12">
      <c r="B31" t="s">
        <v>9</v>
      </c>
      <c r="D31" t="s">
        <v>9</v>
      </c>
    </row>
    <row r="32" spans="2:12">
      <c r="B32" t="s">
        <v>25</v>
      </c>
      <c r="D32" t="s">
        <v>25</v>
      </c>
      <c r="J32" t="str">
        <f>TRIM(+B32)</f>
        <v>First Divide pass and a shaky set of tires</v>
      </c>
      <c r="K32" t="s">
        <v>148</v>
      </c>
    </row>
    <row r="33" spans="2:11">
      <c r="B33" t="s">
        <v>11</v>
      </c>
      <c r="D33" t="s">
        <v>11</v>
      </c>
    </row>
    <row r="34" spans="2:11">
      <c r="B34" t="s">
        <v>12</v>
      </c>
      <c r="D34" t="s">
        <v>12</v>
      </c>
    </row>
    <row r="35" spans="2:11">
      <c r="B35" t="s">
        <v>13</v>
      </c>
      <c r="D35" t="s">
        <v>13</v>
      </c>
    </row>
    <row r="36" spans="2:11">
      <c r="B36" t="s">
        <v>26</v>
      </c>
      <c r="D36" t="s">
        <v>26</v>
      </c>
      <c r="J36" t="str">
        <f>TRIM(+B36)</f>
        <v>Wednesday, June 10, 2015 Bolton Trading Post to Elkford, BC</v>
      </c>
      <c r="K36" t="s">
        <v>149</v>
      </c>
    </row>
    <row r="37" spans="2:11">
      <c r="B37" t="s">
        <v>15</v>
      </c>
      <c r="D37" t="s">
        <v>15</v>
      </c>
    </row>
    <row r="38" spans="2:11">
      <c r="B38" t="s">
        <v>16</v>
      </c>
      <c r="D38" t="s">
        <v>16</v>
      </c>
    </row>
    <row r="39" spans="2:11">
      <c r="B39" t="s">
        <v>27</v>
      </c>
      <c r="D39" t="s">
        <v>27</v>
      </c>
      <c r="J39" t="str">
        <f>TRIM(+B39)</f>
        <v>7:10am, 9h48m, 52.3 miles, 2,490 ft of climbing</v>
      </c>
      <c r="K39" t="s">
        <v>150</v>
      </c>
    </row>
    <row r="40" spans="2:11">
      <c r="B40" t="s">
        <v>18</v>
      </c>
      <c r="D40" t="s">
        <v>18</v>
      </c>
    </row>
    <row r="41" spans="2:11">
      <c r="B41" t="s">
        <v>23</v>
      </c>
      <c r="D41" t="s">
        <v>23</v>
      </c>
      <c r="J41" t="str">
        <f>RIGHT(B41,LEN(B41)-FIND("&lt;a href=",B41)-7)</f>
        <v>"tourdivide02.html"&gt;</v>
      </c>
      <c r="K41" t="s">
        <v>146</v>
      </c>
    </row>
    <row r="42" spans="2:11">
      <c r="B42" t="s">
        <v>28</v>
      </c>
      <c r="D42" t="s">
        <v>28</v>
      </c>
      <c r="J42" t="str">
        <f>RIGHT(B42,LEN(B42)-FIND("src=",B42)-4)</f>
        <v>../img/tourdivide/day02/day02pic02.jpg" alt="" width="100%"&gt;</v>
      </c>
      <c r="K42" t="s">
        <v>151</v>
      </c>
    </row>
    <row r="43" spans="2:11">
      <c r="B43" t="s">
        <v>12</v>
      </c>
      <c r="D43" t="s">
        <v>12</v>
      </c>
    </row>
    <row r="44" spans="2:11">
      <c r="B44" t="s">
        <v>29</v>
      </c>
      <c r="D44" t="s">
        <v>29</v>
      </c>
    </row>
    <row r="45" spans="2:11">
      <c r="B45" t="s">
        <v>21</v>
      </c>
      <c r="D45" t="s">
        <v>21</v>
      </c>
    </row>
    <row r="46" spans="2:11">
      <c r="B46" t="s">
        <v>30</v>
      </c>
      <c r="D46" t="s">
        <v>30</v>
      </c>
      <c r="J46" t="str">
        <f>RIGHT(B46,LEN(B46)-FIND("&lt;!--",B46)-3)</f>
        <v xml:space="preserve"> Day 3--&gt;</v>
      </c>
      <c r="K46" t="s">
        <v>145</v>
      </c>
    </row>
    <row r="47" spans="2:11">
      <c r="B47" t="s">
        <v>31</v>
      </c>
      <c r="D47" t="s">
        <v>31</v>
      </c>
      <c r="J47" t="str">
        <f>RIGHT(B47,LEN(B47)-FIND("&lt;a href=",B47)-7)</f>
        <v>"tourdivide03.html"&gt;</v>
      </c>
      <c r="K47" t="s">
        <v>146</v>
      </c>
    </row>
    <row r="48" spans="2:11">
      <c r="B48" t="s">
        <v>6</v>
      </c>
      <c r="D48" t="s">
        <v>6</v>
      </c>
    </row>
    <row r="49" spans="2:11">
      <c r="B49" t="s">
        <v>32</v>
      </c>
      <c r="D49" t="s">
        <v>32</v>
      </c>
      <c r="J49" t="str">
        <f>TRIM(+B49)</f>
        <v>Day 3 - Fixing the Bike and shedding gear</v>
      </c>
      <c r="K49" t="s">
        <v>147</v>
      </c>
    </row>
    <row r="50" spans="2:11">
      <c r="B50" t="s">
        <v>8</v>
      </c>
      <c r="D50" t="s">
        <v>8</v>
      </c>
    </row>
    <row r="51" spans="2:11">
      <c r="B51" t="s">
        <v>9</v>
      </c>
      <c r="D51" t="s">
        <v>9</v>
      </c>
    </row>
    <row r="52" spans="2:11">
      <c r="B52" t="s">
        <v>33</v>
      </c>
      <c r="D52" t="s">
        <v>33</v>
      </c>
      <c r="J52" t="str">
        <f>TRIM(+B52)</f>
        <v>Another short ride and then some maintenance</v>
      </c>
      <c r="K52" t="s">
        <v>148</v>
      </c>
    </row>
    <row r="53" spans="2:11">
      <c r="B53" t="s">
        <v>11</v>
      </c>
      <c r="D53" t="s">
        <v>11</v>
      </c>
    </row>
    <row r="54" spans="2:11">
      <c r="B54" t="s">
        <v>12</v>
      </c>
      <c r="D54" t="s">
        <v>12</v>
      </c>
    </row>
    <row r="55" spans="2:11">
      <c r="B55" t="s">
        <v>13</v>
      </c>
      <c r="D55" t="s">
        <v>13</v>
      </c>
    </row>
    <row r="56" spans="2:11">
      <c r="B56" t="s">
        <v>34</v>
      </c>
      <c r="D56" t="s">
        <v>34</v>
      </c>
      <c r="J56" t="str">
        <f>TRIM(+B56)</f>
        <v>Thursday, June 11, 2015 Elkford to Sparwood</v>
      </c>
      <c r="K56" t="s">
        <v>149</v>
      </c>
    </row>
    <row r="57" spans="2:11">
      <c r="B57" t="s">
        <v>15</v>
      </c>
      <c r="D57" t="s">
        <v>15</v>
      </c>
    </row>
    <row r="58" spans="2:11">
      <c r="B58" t="s">
        <v>16</v>
      </c>
      <c r="D58" t="s">
        <v>16</v>
      </c>
    </row>
    <row r="59" spans="2:11">
      <c r="B59" t="s">
        <v>35</v>
      </c>
      <c r="D59" t="s">
        <v>35</v>
      </c>
      <c r="J59" t="str">
        <f>TRIM(+B59)</f>
        <v>7:16am, 3h30m, 30.7 miles, 1,562 ft of climbing</v>
      </c>
      <c r="K59" t="s">
        <v>150</v>
      </c>
    </row>
    <row r="60" spans="2:11">
      <c r="B60" t="s">
        <v>18</v>
      </c>
      <c r="D60" t="s">
        <v>18</v>
      </c>
    </row>
    <row r="61" spans="2:11">
      <c r="B61" t="s">
        <v>31</v>
      </c>
      <c r="D61" t="s">
        <v>31</v>
      </c>
      <c r="J61" t="str">
        <f>RIGHT(B61,LEN(B61)-FIND("&lt;a href=",B61)-7)</f>
        <v>"tourdivide03.html"&gt;</v>
      </c>
      <c r="K61" t="s">
        <v>146</v>
      </c>
    </row>
    <row r="62" spans="2:11">
      <c r="B62" t="s">
        <v>36</v>
      </c>
      <c r="D62" t="s">
        <v>36</v>
      </c>
      <c r="J62" t="str">
        <f>RIGHT(B62,LEN(B62)-FIND("src=",B62)-4)</f>
        <v>../img/tourdivide/day03/day03pic00v2.jpg" alt="" width="100%"&gt;</v>
      </c>
      <c r="K62" t="s">
        <v>151</v>
      </c>
    </row>
    <row r="63" spans="2:11">
      <c r="B63" t="s">
        <v>12</v>
      </c>
      <c r="D63" t="s">
        <v>12</v>
      </c>
    </row>
    <row r="64" spans="2:11">
      <c r="B64" t="s">
        <v>37</v>
      </c>
      <c r="D64" t="s">
        <v>37</v>
      </c>
    </row>
    <row r="65" spans="2:11">
      <c r="B65" t="s">
        <v>21</v>
      </c>
      <c r="D65" t="s">
        <v>21</v>
      </c>
    </row>
    <row r="66" spans="2:11">
      <c r="B66" t="s">
        <v>38</v>
      </c>
      <c r="D66" t="s">
        <v>38</v>
      </c>
      <c r="J66" t="str">
        <f>RIGHT(B66,LEN(B66)-FIND("&lt;!--",B66)-3)</f>
        <v xml:space="preserve"> Day 4--&gt;</v>
      </c>
      <c r="K66" t="s">
        <v>145</v>
      </c>
    </row>
    <row r="67" spans="2:11">
      <c r="B67" t="s">
        <v>39</v>
      </c>
      <c r="D67" t="s">
        <v>39</v>
      </c>
      <c r="J67" t="str">
        <f>RIGHT(B67,LEN(B67)-FIND("&lt;a href=",B67)-7)</f>
        <v>"tourdivide04.html"&gt;</v>
      </c>
      <c r="K67" t="s">
        <v>146</v>
      </c>
    </row>
    <row r="68" spans="2:11">
      <c r="B68" t="s">
        <v>6</v>
      </c>
      <c r="D68" t="s">
        <v>6</v>
      </c>
    </row>
    <row r="69" spans="2:11">
      <c r="B69" t="s">
        <v>40</v>
      </c>
      <c r="D69" t="s">
        <v>40</v>
      </c>
      <c r="J69" t="str">
        <f>TRIM(+B69)</f>
        <v>Day 04 - Stream or Trail??</v>
      </c>
      <c r="K69" t="s">
        <v>147</v>
      </c>
    </row>
    <row r="70" spans="2:11">
      <c r="B70" t="s">
        <v>8</v>
      </c>
      <c r="D70" t="s">
        <v>8</v>
      </c>
    </row>
    <row r="71" spans="2:11">
      <c r="B71" t="s">
        <v>9</v>
      </c>
      <c r="D71" t="s">
        <v>9</v>
      </c>
    </row>
    <row r="72" spans="2:11">
      <c r="B72" t="s">
        <v>41</v>
      </c>
      <c r="D72" t="s">
        <v>41</v>
      </c>
      <c r="J72" t="str">
        <f>TRIM(+B72)</f>
        <v>Two passes then "...shooting guns and blowing stuff up"</v>
      </c>
      <c r="K72" t="s">
        <v>148</v>
      </c>
    </row>
    <row r="73" spans="2:11">
      <c r="B73" t="s">
        <v>11</v>
      </c>
      <c r="D73" t="s">
        <v>11</v>
      </c>
    </row>
    <row r="74" spans="2:11">
      <c r="B74" t="s">
        <v>12</v>
      </c>
      <c r="D74" t="s">
        <v>12</v>
      </c>
    </row>
    <row r="75" spans="2:11">
      <c r="B75" t="s">
        <v>13</v>
      </c>
      <c r="D75" t="s">
        <v>13</v>
      </c>
    </row>
    <row r="76" spans="2:11">
      <c r="B76" t="s">
        <v>42</v>
      </c>
      <c r="D76" t="s">
        <v>42</v>
      </c>
      <c r="J76" t="str">
        <f>TRIM(+B76)</f>
        <v>Friday, June 12, 2015 Sparwood to part way up Cabin Pass</v>
      </c>
      <c r="K76" t="s">
        <v>149</v>
      </c>
    </row>
    <row r="77" spans="2:11">
      <c r="B77" t="s">
        <v>15</v>
      </c>
      <c r="D77" t="s">
        <v>15</v>
      </c>
    </row>
    <row r="78" spans="2:11">
      <c r="B78" t="s">
        <v>16</v>
      </c>
      <c r="D78" t="s">
        <v>16</v>
      </c>
    </row>
    <row r="79" spans="2:11">
      <c r="B79" t="s">
        <v>43</v>
      </c>
      <c r="D79" t="s">
        <v>43</v>
      </c>
      <c r="J79" t="str">
        <f>TRIM(+B79)</f>
        <v>7:02am, 7h56m, 72.8 miles, 4,557 ft of climbing</v>
      </c>
      <c r="K79" t="s">
        <v>150</v>
      </c>
    </row>
    <row r="80" spans="2:11">
      <c r="B80" t="s">
        <v>18</v>
      </c>
      <c r="D80" t="s">
        <v>18</v>
      </c>
    </row>
    <row r="81" spans="2:11">
      <c r="B81" t="s">
        <v>39</v>
      </c>
      <c r="D81" t="s">
        <v>39</v>
      </c>
      <c r="J81" t="str">
        <f>RIGHT(B81,LEN(B81)-FIND("&lt;a href=",B81)-7)</f>
        <v>"tourdivide04.html"&gt;</v>
      </c>
      <c r="K81" t="s">
        <v>146</v>
      </c>
    </row>
    <row r="82" spans="2:11">
      <c r="B82" t="s">
        <v>44</v>
      </c>
      <c r="D82" t="s">
        <v>44</v>
      </c>
      <c r="J82" t="str">
        <f>RIGHT(B82,LEN(B82)-FIND("src=",B82)-4)</f>
        <v>../img/tourdivide/day04/day04pic00.JPG" alt="" width="100%"&gt;</v>
      </c>
      <c r="K82" t="s">
        <v>151</v>
      </c>
    </row>
    <row r="83" spans="2:11">
      <c r="B83" t="s">
        <v>12</v>
      </c>
      <c r="D83" t="s">
        <v>12</v>
      </c>
    </row>
    <row r="84" spans="2:11">
      <c r="B84" t="s">
        <v>45</v>
      </c>
      <c r="D84" t="s">
        <v>45</v>
      </c>
    </row>
    <row r="85" spans="2:11">
      <c r="B85" t="s">
        <v>21</v>
      </c>
      <c r="D85" t="s">
        <v>21</v>
      </c>
    </row>
    <row r="86" spans="2:11">
      <c r="B86" t="s">
        <v>46</v>
      </c>
      <c r="D86" t="s">
        <v>46</v>
      </c>
      <c r="J86" t="str">
        <f>RIGHT(B86,LEN(B86)-FIND("&lt;!--",B86)-3)</f>
        <v xml:space="preserve"> Day 5--&gt;</v>
      </c>
      <c r="K86" t="s">
        <v>145</v>
      </c>
    </row>
    <row r="87" spans="2:11">
      <c r="B87" t="s">
        <v>47</v>
      </c>
      <c r="D87" t="s">
        <v>47</v>
      </c>
      <c r="J87" t="str">
        <f>RIGHT(B87,LEN(B87)-FIND("&lt;a href=",B87)-7)</f>
        <v>"tourdivide05.html"&gt;</v>
      </c>
      <c r="K87" t="s">
        <v>146</v>
      </c>
    </row>
    <row r="88" spans="2:11">
      <c r="B88" t="s">
        <v>6</v>
      </c>
      <c r="D88" t="s">
        <v>6</v>
      </c>
    </row>
    <row r="89" spans="2:11">
      <c r="B89" t="s">
        <v>48</v>
      </c>
      <c r="D89" t="s">
        <v>48</v>
      </c>
      <c r="J89" t="str">
        <f>TRIM(+B89)</f>
        <v>Day 5 - Cabin Pass, The Wall (WTF) and Galton Pass</v>
      </c>
      <c r="K89" t="s">
        <v>147</v>
      </c>
    </row>
    <row r="90" spans="2:11">
      <c r="B90" t="s">
        <v>8</v>
      </c>
      <c r="D90" t="s">
        <v>8</v>
      </c>
    </row>
    <row r="91" spans="2:11">
      <c r="B91" t="s">
        <v>9</v>
      </c>
      <c r="D91" t="s">
        <v>9</v>
      </c>
    </row>
    <row r="92" spans="2:11">
      <c r="B92" t="s">
        <v>49</v>
      </c>
      <c r="D92" t="s">
        <v>49</v>
      </c>
      <c r="J92" t="str">
        <f>TRIM(+B92)</f>
        <v>Last day in Canada and it's a good one</v>
      </c>
      <c r="K92" t="s">
        <v>148</v>
      </c>
    </row>
    <row r="93" spans="2:11">
      <c r="B93" t="s">
        <v>11</v>
      </c>
      <c r="D93" t="s">
        <v>11</v>
      </c>
    </row>
    <row r="94" spans="2:11">
      <c r="B94" t="s">
        <v>12</v>
      </c>
      <c r="D94" t="s">
        <v>12</v>
      </c>
    </row>
    <row r="95" spans="2:11">
      <c r="B95" t="s">
        <v>13</v>
      </c>
      <c r="D95" t="s">
        <v>13</v>
      </c>
    </row>
    <row r="96" spans="2:11">
      <c r="B96" t="s">
        <v>50</v>
      </c>
      <c r="D96" t="s">
        <v>50</v>
      </c>
      <c r="J96" t="str">
        <f>TRIM(+B96)</f>
        <v>Saturday, June 13, 2015 Cabin Pass to Eureka, MT, USA</v>
      </c>
      <c r="K96" t="s">
        <v>149</v>
      </c>
    </row>
    <row r="97" spans="2:11">
      <c r="B97" t="s">
        <v>15</v>
      </c>
      <c r="D97" t="s">
        <v>15</v>
      </c>
    </row>
    <row r="98" spans="2:11">
      <c r="B98" t="s">
        <v>16</v>
      </c>
      <c r="D98" t="s">
        <v>16</v>
      </c>
    </row>
    <row r="99" spans="2:11">
      <c r="B99" t="s">
        <v>51</v>
      </c>
      <c r="D99" t="s">
        <v>51</v>
      </c>
      <c r="J99" t="str">
        <f>TRIM(+B99)</f>
        <v>7:39am, 7h40m, 59.8 miles, 4,548 ft of climbing</v>
      </c>
      <c r="K99" t="s">
        <v>150</v>
      </c>
    </row>
    <row r="100" spans="2:11">
      <c r="B100" t="s">
        <v>18</v>
      </c>
      <c r="D100" t="s">
        <v>18</v>
      </c>
    </row>
    <row r="101" spans="2:11">
      <c r="B101" t="s">
        <v>47</v>
      </c>
      <c r="D101" t="s">
        <v>47</v>
      </c>
      <c r="J101" t="str">
        <f>RIGHT(B101,LEN(B101)-FIND("&lt;a href=",B101)-7)</f>
        <v>"tourdivide05.html"&gt;</v>
      </c>
      <c r="K101" t="s">
        <v>146</v>
      </c>
    </row>
    <row r="102" spans="2:11">
      <c r="B102" t="s">
        <v>52</v>
      </c>
      <c r="D102" t="s">
        <v>52</v>
      </c>
      <c r="J102" t="str">
        <f>RIGHT(B102,LEN(B102)-FIND("src=",B102)-4)</f>
        <v>../img/tourdivide/day05/day05pic00.JPG" alt="" width="100%"&gt;</v>
      </c>
      <c r="K102" t="s">
        <v>151</v>
      </c>
    </row>
    <row r="103" spans="2:11">
      <c r="B103" t="s">
        <v>12</v>
      </c>
      <c r="D103" t="s">
        <v>12</v>
      </c>
    </row>
    <row r="104" spans="2:11">
      <c r="B104" t="s">
        <v>53</v>
      </c>
      <c r="D104" t="s">
        <v>53</v>
      </c>
    </row>
    <row r="105" spans="2:11">
      <c r="B105" t="s">
        <v>21</v>
      </c>
      <c r="D105" t="s">
        <v>21</v>
      </c>
    </row>
    <row r="106" spans="2:11">
      <c r="B106" t="s">
        <v>54</v>
      </c>
      <c r="D106" t="s">
        <v>54</v>
      </c>
      <c r="J106" t="str">
        <f>RIGHT(B106,LEN(B106)-FIND("&lt;!--",B106)-3)</f>
        <v xml:space="preserve"> Day 6--&gt;</v>
      </c>
      <c r="K106" t="s">
        <v>145</v>
      </c>
    </row>
    <row r="107" spans="2:11">
      <c r="B107" t="s">
        <v>55</v>
      </c>
      <c r="D107" t="s">
        <v>55</v>
      </c>
      <c r="J107" t="str">
        <f>RIGHT(B107,LEN(B107)-FIND("&lt;a href=",B107)-7)</f>
        <v>"tourdivide06.html"&gt;</v>
      </c>
      <c r="K107" t="s">
        <v>146</v>
      </c>
    </row>
    <row r="108" spans="2:11">
      <c r="B108" t="s">
        <v>6</v>
      </c>
      <c r="D108" t="s">
        <v>6</v>
      </c>
    </row>
    <row r="109" spans="2:11">
      <c r="B109" t="s">
        <v>56</v>
      </c>
      <c r="D109" t="s">
        <v>56</v>
      </c>
      <c r="J109" t="str">
        <f>TRIM(+B109)</f>
        <v>Day 6 - Whitefish Pass and Red Meadow Lake</v>
      </c>
      <c r="K109" t="s">
        <v>147</v>
      </c>
    </row>
    <row r="110" spans="2:11">
      <c r="B110" t="s">
        <v>8</v>
      </c>
      <c r="D110" t="s">
        <v>8</v>
      </c>
    </row>
    <row r="111" spans="2:11">
      <c r="B111" t="s">
        <v>9</v>
      </c>
      <c r="D111" t="s">
        <v>9</v>
      </c>
    </row>
    <row r="112" spans="2:11">
      <c r="B112" t="s">
        <v>57</v>
      </c>
      <c r="D112" t="s">
        <v>57</v>
      </c>
      <c r="J112" t="str">
        <f>TRIM(+B112)</f>
        <v>Now I know why you don't use tubes</v>
      </c>
      <c r="K112" t="s">
        <v>148</v>
      </c>
    </row>
    <row r="113" spans="2:11">
      <c r="B113" t="s">
        <v>11</v>
      </c>
      <c r="D113" t="s">
        <v>11</v>
      </c>
    </row>
    <row r="114" spans="2:11">
      <c r="B114" t="s">
        <v>12</v>
      </c>
      <c r="D114" t="s">
        <v>12</v>
      </c>
    </row>
    <row r="115" spans="2:11">
      <c r="B115" t="s">
        <v>13</v>
      </c>
      <c r="D115" t="s">
        <v>13</v>
      </c>
    </row>
    <row r="116" spans="2:11">
      <c r="B116" t="s">
        <v>58</v>
      </c>
      <c r="D116" t="s">
        <v>58</v>
      </c>
      <c r="J116" t="str">
        <f>TRIM(+B116)</f>
        <v>Sunday, June 14, 2015 Eureka to Whitefish Lake, MT</v>
      </c>
      <c r="K116" t="s">
        <v>149</v>
      </c>
    </row>
    <row r="117" spans="2:11">
      <c r="B117" t="s">
        <v>15</v>
      </c>
      <c r="D117" t="s">
        <v>15</v>
      </c>
    </row>
    <row r="118" spans="2:11">
      <c r="B118" t="s">
        <v>16</v>
      </c>
      <c r="D118" t="s">
        <v>16</v>
      </c>
    </row>
    <row r="119" spans="2:11">
      <c r="B119" t="s">
        <v>59</v>
      </c>
      <c r="D119" t="s">
        <v>59</v>
      </c>
      <c r="J119" t="str">
        <f>TRIM(+B119)</f>
        <v>5:57am, 10h3m, 94.7 miles, 5,833 ft of climbing</v>
      </c>
      <c r="K119" t="s">
        <v>150</v>
      </c>
    </row>
    <row r="120" spans="2:11">
      <c r="B120" t="s">
        <v>18</v>
      </c>
      <c r="D120" t="s">
        <v>18</v>
      </c>
    </row>
    <row r="121" spans="2:11">
      <c r="B121" t="s">
        <v>55</v>
      </c>
      <c r="D121" t="s">
        <v>55</v>
      </c>
      <c r="J121" t="str">
        <f>RIGHT(B121,LEN(B121)-FIND("&lt;a href=",B121)-7)</f>
        <v>"tourdivide06.html"&gt;</v>
      </c>
      <c r="K121" t="s">
        <v>146</v>
      </c>
    </row>
    <row r="122" spans="2:11">
      <c r="B122" t="s">
        <v>60</v>
      </c>
      <c r="D122" t="s">
        <v>60</v>
      </c>
      <c r="J122" t="str">
        <f>RIGHT(B122,LEN(B122)-FIND("src=",B122)-4)</f>
        <v>../img/tourdivide/day06/day06pic00.JPG" alt="" width="100%"&gt;</v>
      </c>
      <c r="K122" t="s">
        <v>151</v>
      </c>
    </row>
    <row r="123" spans="2:11">
      <c r="B123" t="s">
        <v>12</v>
      </c>
      <c r="D123" t="s">
        <v>12</v>
      </c>
    </row>
    <row r="124" spans="2:11">
      <c r="B124" t="s">
        <v>61</v>
      </c>
      <c r="D124" t="s">
        <v>61</v>
      </c>
    </row>
    <row r="125" spans="2:11">
      <c r="B125" t="s">
        <v>21</v>
      </c>
      <c r="D125" t="s">
        <v>21</v>
      </c>
    </row>
    <row r="126" spans="2:11">
      <c r="B126" t="s">
        <v>62</v>
      </c>
      <c r="D126" t="s">
        <v>62</v>
      </c>
      <c r="J126" t="str">
        <f>RIGHT(B126,LEN(B126)-FIND("&lt;!--",B126)-3)</f>
        <v xml:space="preserve"> Day 7--&gt;</v>
      </c>
      <c r="K126" t="s">
        <v>145</v>
      </c>
    </row>
    <row r="127" spans="2:11">
      <c r="B127" t="s">
        <v>63</v>
      </c>
      <c r="D127" t="s">
        <v>63</v>
      </c>
      <c r="J127" t="str">
        <f>RIGHT(B127,LEN(B127)-FIND("&lt;a href=",B127)-7)</f>
        <v>"tourdivide07.html"&gt;</v>
      </c>
      <c r="K127" t="s">
        <v>146</v>
      </c>
    </row>
    <row r="128" spans="2:11">
      <c r="B128" t="s">
        <v>6</v>
      </c>
      <c r="D128" t="s">
        <v>6</v>
      </c>
    </row>
    <row r="129" spans="2:11">
      <c r="B129" t="s">
        <v>64</v>
      </c>
      <c r="D129" t="s">
        <v>64</v>
      </c>
      <c r="J129" t="str">
        <f>TRIM(+B129)</f>
        <v>Day 07 - A flat 40 miles to a nice B&amp;B</v>
      </c>
      <c r="K129" t="s">
        <v>147</v>
      </c>
    </row>
    <row r="130" spans="2:11">
      <c r="B130" t="s">
        <v>8</v>
      </c>
      <c r="D130" t="s">
        <v>8</v>
      </c>
    </row>
    <row r="131" spans="2:11">
      <c r="B131" t="s">
        <v>9</v>
      </c>
      <c r="D131" t="s">
        <v>9</v>
      </c>
    </row>
    <row r="132" spans="2:11">
      <c r="B132" t="s">
        <v>65</v>
      </c>
      <c r="D132" t="s">
        <v>65</v>
      </c>
      <c r="J132" t="str">
        <f>TRIM(+B132)</f>
        <v>A partial rest, laundry and an easy 47 including an extra 4</v>
      </c>
      <c r="K132" t="s">
        <v>148</v>
      </c>
    </row>
    <row r="133" spans="2:11">
      <c r="B133" t="s">
        <v>11</v>
      </c>
      <c r="D133" t="s">
        <v>11</v>
      </c>
    </row>
    <row r="134" spans="2:11">
      <c r="B134" t="s">
        <v>12</v>
      </c>
      <c r="D134" t="s">
        <v>12</v>
      </c>
    </row>
    <row r="135" spans="2:11">
      <c r="B135" t="s">
        <v>13</v>
      </c>
      <c r="D135" t="s">
        <v>13</v>
      </c>
    </row>
    <row r="136" spans="2:11">
      <c r="B136" t="s">
        <v>66</v>
      </c>
      <c r="D136" t="s">
        <v>66</v>
      </c>
      <c r="J136" t="str">
        <f>TRIM(+B136)</f>
        <v>Monday, June 15, 2015 Whitefish to Ferndale, MT</v>
      </c>
      <c r="K136" t="s">
        <v>149</v>
      </c>
    </row>
    <row r="137" spans="2:11">
      <c r="B137" t="s">
        <v>15</v>
      </c>
      <c r="D137" t="s">
        <v>15</v>
      </c>
    </row>
    <row r="138" spans="2:11">
      <c r="B138" t="s">
        <v>16</v>
      </c>
      <c r="D138" t="s">
        <v>16</v>
      </c>
    </row>
    <row r="139" spans="2:11">
      <c r="B139" t="s">
        <v>67</v>
      </c>
      <c r="D139" t="s">
        <v>67</v>
      </c>
      <c r="J139" t="str">
        <f>TRIM(+B139)</f>
        <v>11:38am, 3h55m, 47.3 miles, 986 ft of climbing</v>
      </c>
      <c r="K139" t="s">
        <v>150</v>
      </c>
    </row>
    <row r="140" spans="2:11">
      <c r="B140" t="s">
        <v>18</v>
      </c>
      <c r="D140" t="s">
        <v>18</v>
      </c>
    </row>
    <row r="141" spans="2:11">
      <c r="B141" t="s">
        <v>63</v>
      </c>
      <c r="D141" t="s">
        <v>63</v>
      </c>
      <c r="J141" t="str">
        <f>RIGHT(B141,LEN(B141)-FIND("&lt;a href=",B141)-7)</f>
        <v>"tourdivide07.html"&gt;</v>
      </c>
      <c r="K141" t="s">
        <v>146</v>
      </c>
    </row>
    <row r="142" spans="2:11">
      <c r="B142" t="s">
        <v>68</v>
      </c>
      <c r="D142" t="s">
        <v>68</v>
      </c>
      <c r="J142" t="str">
        <f>RIGHT(B142,LEN(B142)-FIND("src=",B142)-4)</f>
        <v>../img/tourdivide/day07/day07pic00.JPG" alt="" width="100%"&gt;</v>
      </c>
      <c r="K142" t="s">
        <v>151</v>
      </c>
    </row>
    <row r="143" spans="2:11">
      <c r="B143" t="s">
        <v>12</v>
      </c>
      <c r="D143" t="s">
        <v>12</v>
      </c>
    </row>
    <row r="144" spans="2:11">
      <c r="B144" t="s">
        <v>69</v>
      </c>
      <c r="D144" t="s">
        <v>69</v>
      </c>
    </row>
    <row r="145" spans="2:11">
      <c r="B145" t="s">
        <v>21</v>
      </c>
      <c r="D145" t="s">
        <v>21</v>
      </c>
    </row>
    <row r="146" spans="2:11">
      <c r="B146" t="s">
        <v>70</v>
      </c>
      <c r="D146" t="s">
        <v>70</v>
      </c>
      <c r="J146" t="str">
        <f>RIGHT(B146,LEN(B146)-FIND("&lt;!--",B146)-3)</f>
        <v xml:space="preserve"> Day 8--&gt;</v>
      </c>
      <c r="K146" t="s">
        <v>145</v>
      </c>
    </row>
    <row r="147" spans="2:11">
      <c r="B147" t="s">
        <v>71</v>
      </c>
      <c r="D147" t="s">
        <v>71</v>
      </c>
      <c r="J147" t="str">
        <f>RIGHT(B147,LEN(B147)-FIND("&lt;a href=",B147)-7)</f>
        <v>"tourdivide08.html"&gt;</v>
      </c>
      <c r="K147" t="s">
        <v>146</v>
      </c>
    </row>
    <row r="148" spans="2:11">
      <c r="B148" t="s">
        <v>6</v>
      </c>
      <c r="D148" t="s">
        <v>6</v>
      </c>
    </row>
    <row r="149" spans="2:11">
      <c r="B149" t="s">
        <v>72</v>
      </c>
      <c r="D149" t="s">
        <v>72</v>
      </c>
      <c r="J149" t="str">
        <f>TRIM(+B149)</f>
        <v>Day 08 - Grizzly Country and climbs just for fun</v>
      </c>
      <c r="K149" t="s">
        <v>147</v>
      </c>
    </row>
    <row r="150" spans="2:11">
      <c r="B150" t="s">
        <v>8</v>
      </c>
      <c r="D150" t="s">
        <v>8</v>
      </c>
    </row>
    <row r="151" spans="2:11">
      <c r="B151" t="s">
        <v>9</v>
      </c>
      <c r="D151" t="s">
        <v>9</v>
      </c>
    </row>
    <row r="152" spans="2:11">
      <c r="B152" t="s">
        <v>73</v>
      </c>
      <c r="D152" t="s">
        <v>73</v>
      </c>
      <c r="J152" t="str">
        <f>TRIM(+B152)</f>
        <v>Tough climbs, a nice ride until washboard - great setting at the end</v>
      </c>
      <c r="K152" t="s">
        <v>148</v>
      </c>
    </row>
    <row r="153" spans="2:11">
      <c r="B153" t="s">
        <v>11</v>
      </c>
      <c r="D153" t="s">
        <v>11</v>
      </c>
    </row>
    <row r="154" spans="2:11">
      <c r="B154" t="s">
        <v>12</v>
      </c>
      <c r="D154" t="s">
        <v>12</v>
      </c>
    </row>
    <row r="155" spans="2:11">
      <c r="B155" t="s">
        <v>13</v>
      </c>
      <c r="D155" t="s">
        <v>13</v>
      </c>
    </row>
    <row r="156" spans="2:11">
      <c r="B156" t="s">
        <v>74</v>
      </c>
      <c r="D156" t="s">
        <v>74</v>
      </c>
      <c r="J156" t="str">
        <f>TRIM(+B156)</f>
        <v>Tuesday, June 16, 2015 Ferndale to Holland Lake, MT</v>
      </c>
      <c r="K156" t="s">
        <v>149</v>
      </c>
    </row>
    <row r="157" spans="2:11">
      <c r="B157" t="s">
        <v>15</v>
      </c>
      <c r="D157" t="s">
        <v>15</v>
      </c>
    </row>
    <row r="158" spans="2:11">
      <c r="B158" t="s">
        <v>16</v>
      </c>
      <c r="D158" t="s">
        <v>16</v>
      </c>
    </row>
    <row r="159" spans="2:11">
      <c r="B159" t="s">
        <v>75</v>
      </c>
      <c r="D159" t="s">
        <v>75</v>
      </c>
      <c r="J159" t="str">
        <f>TRIM(+B159)</f>
        <v>left at 8:39am, 8h24m, 71.8 miles, 5,697 ft of climbing</v>
      </c>
      <c r="K159" t="s">
        <v>150</v>
      </c>
    </row>
    <row r="160" spans="2:11">
      <c r="B160" t="s">
        <v>18</v>
      </c>
      <c r="D160" t="s">
        <v>18</v>
      </c>
    </row>
    <row r="161" spans="2:11">
      <c r="B161" t="s">
        <v>71</v>
      </c>
      <c r="D161" t="s">
        <v>71</v>
      </c>
      <c r="J161" t="str">
        <f>RIGHT(B161,LEN(B161)-FIND("&lt;a href=",B161)-7)</f>
        <v>"tourdivide08.html"&gt;</v>
      </c>
      <c r="K161" t="s">
        <v>146</v>
      </c>
    </row>
    <row r="162" spans="2:11">
      <c r="B162" t="s">
        <v>76</v>
      </c>
      <c r="D162" t="s">
        <v>76</v>
      </c>
      <c r="J162" t="str">
        <f>RIGHT(B162,LEN(B162)-FIND("src=",B162)-4)</f>
        <v>../img/tourdivide/day08/day08pic00.JPG" alt="" width="100%"&gt;</v>
      </c>
      <c r="K162" t="s">
        <v>151</v>
      </c>
    </row>
    <row r="163" spans="2:11">
      <c r="B163" t="s">
        <v>12</v>
      </c>
      <c r="D163" t="s">
        <v>12</v>
      </c>
    </row>
    <row r="164" spans="2:11">
      <c r="B164" t="s">
        <v>77</v>
      </c>
      <c r="D164" t="s">
        <v>77</v>
      </c>
    </row>
    <row r="165" spans="2:11">
      <c r="B165" t="s">
        <v>21</v>
      </c>
      <c r="D165" t="s">
        <v>21</v>
      </c>
    </row>
    <row r="166" spans="2:11">
      <c r="B166" t="s">
        <v>78</v>
      </c>
      <c r="D166" t="s">
        <v>78</v>
      </c>
      <c r="J166" t="str">
        <f>RIGHT(B166,LEN(B166)-FIND("&lt;!--",B166)-3)</f>
        <v xml:space="preserve"> Day 9--&gt;</v>
      </c>
      <c r="K166" t="s">
        <v>145</v>
      </c>
    </row>
    <row r="167" spans="2:11">
      <c r="B167" t="s">
        <v>79</v>
      </c>
      <c r="D167" t="s">
        <v>79</v>
      </c>
      <c r="J167" t="str">
        <f>RIGHT(B167,LEN(B167)-FIND("&lt;a href=",B167)-7)</f>
        <v>"tourdivide09.html"&gt;</v>
      </c>
      <c r="K167" t="s">
        <v>146</v>
      </c>
    </row>
    <row r="168" spans="2:11">
      <c r="B168" t="s">
        <v>6</v>
      </c>
      <c r="D168" t="s">
        <v>6</v>
      </c>
    </row>
    <row r="169" spans="2:11">
      <c r="B169" t="s">
        <v>80</v>
      </c>
      <c r="D169" t="s">
        <v>80</v>
      </c>
      <c r="J169" t="str">
        <f>TRIM(+B169)</f>
        <v>Day 9 - Coming around the mountain</v>
      </c>
      <c r="K169" t="s">
        <v>147</v>
      </c>
    </row>
    <row r="170" spans="2:11">
      <c r="B170" t="s">
        <v>8</v>
      </c>
      <c r="D170" t="s">
        <v>8</v>
      </c>
    </row>
    <row r="171" spans="2:11">
      <c r="B171" t="s">
        <v>9</v>
      </c>
      <c r="D171" t="s">
        <v>9</v>
      </c>
    </row>
    <row r="172" spans="2:11">
      <c r="B172" t="s">
        <v>81</v>
      </c>
      <c r="D172" t="s">
        <v>81</v>
      </c>
      <c r="J172" t="str">
        <f>TRIM(+B172)</f>
        <v>Circling Richmond Peak and a huge save</v>
      </c>
      <c r="K172" t="s">
        <v>148</v>
      </c>
    </row>
    <row r="173" spans="2:11">
      <c r="B173" t="s">
        <v>11</v>
      </c>
      <c r="D173" t="s">
        <v>11</v>
      </c>
    </row>
    <row r="174" spans="2:11">
      <c r="B174" t="s">
        <v>12</v>
      </c>
      <c r="D174" t="s">
        <v>12</v>
      </c>
    </row>
    <row r="175" spans="2:11">
      <c r="B175" t="s">
        <v>13</v>
      </c>
      <c r="D175" t="s">
        <v>13</v>
      </c>
    </row>
    <row r="176" spans="2:11">
      <c r="B176" t="s">
        <v>82</v>
      </c>
      <c r="D176" t="s">
        <v>82</v>
      </c>
      <c r="J176" t="str">
        <f>TRIM(+B176)</f>
        <v>Wednesday, June 17, 2015 Holland Lake to Ovando, MT</v>
      </c>
      <c r="K176" t="s">
        <v>149</v>
      </c>
    </row>
    <row r="177" spans="2:11">
      <c r="B177" t="s">
        <v>15</v>
      </c>
      <c r="D177" t="s">
        <v>15</v>
      </c>
    </row>
    <row r="178" spans="2:11">
      <c r="B178" t="s">
        <v>16</v>
      </c>
      <c r="D178" t="s">
        <v>16</v>
      </c>
    </row>
    <row r="179" spans="2:11">
      <c r="B179" t="s">
        <v>83</v>
      </c>
      <c r="D179" t="s">
        <v>83</v>
      </c>
      <c r="J179" t="str">
        <f>TRIM(+B179)</f>
        <v>8:45 AM, 8h49m, 60.34 miles, 5,574 ft of climbing</v>
      </c>
      <c r="K179" t="s">
        <v>150</v>
      </c>
    </row>
    <row r="180" spans="2:11">
      <c r="B180" t="s">
        <v>18</v>
      </c>
      <c r="D180" t="s">
        <v>18</v>
      </c>
    </row>
    <row r="181" spans="2:11">
      <c r="B181" t="s">
        <v>79</v>
      </c>
      <c r="D181" t="s">
        <v>79</v>
      </c>
      <c r="J181" t="str">
        <f>RIGHT(B181,LEN(B181)-FIND("&lt;a href=",B181)-7)</f>
        <v>"tourdivide09.html"&gt;</v>
      </c>
      <c r="K181" t="s">
        <v>146</v>
      </c>
    </row>
    <row r="182" spans="2:11">
      <c r="B182" t="s">
        <v>84</v>
      </c>
      <c r="D182" t="s">
        <v>84</v>
      </c>
      <c r="J182" t="str">
        <f>RIGHT(B182,LEN(B182)-FIND("src=",B182)-4)</f>
        <v>../img/tourdivide/day09/day09pic00.JPG" alt="" width="100%"&gt;</v>
      </c>
      <c r="K182" t="s">
        <v>151</v>
      </c>
    </row>
    <row r="183" spans="2:11">
      <c r="B183" t="s">
        <v>12</v>
      </c>
      <c r="D183" t="s">
        <v>12</v>
      </c>
    </row>
    <row r="184" spans="2:11">
      <c r="B184" t="s">
        <v>85</v>
      </c>
      <c r="D184" t="s">
        <v>85</v>
      </c>
    </row>
    <row r="185" spans="2:11">
      <c r="B185" t="s">
        <v>21</v>
      </c>
      <c r="D185" t="s">
        <v>21</v>
      </c>
    </row>
    <row r="186" spans="2:11">
      <c r="B186" t="s">
        <v>86</v>
      </c>
      <c r="D186" t="s">
        <v>86</v>
      </c>
      <c r="J186" t="str">
        <f>RIGHT(B186,LEN(B186)-FIND("&lt;!--",B186)-3)</f>
        <v xml:space="preserve"> Day 10--&gt;</v>
      </c>
      <c r="K186" t="s">
        <v>145</v>
      </c>
    </row>
    <row r="187" spans="2:11">
      <c r="B187" t="s">
        <v>87</v>
      </c>
      <c r="D187" t="s">
        <v>87</v>
      </c>
      <c r="J187" t="str">
        <f>RIGHT(B187,LEN(B187)-FIND("&lt;a href=",B187)-7)</f>
        <v>"tourdivide10.html"&gt;</v>
      </c>
      <c r="K187" t="s">
        <v>146</v>
      </c>
    </row>
    <row r="188" spans="2:11">
      <c r="B188" t="s">
        <v>6</v>
      </c>
      <c r="D188" t="s">
        <v>6</v>
      </c>
    </row>
    <row r="189" spans="2:11">
      <c r="B189" t="s">
        <v>88</v>
      </c>
      <c r="D189" t="s">
        <v>88</v>
      </c>
      <c r="J189" t="str">
        <f>TRIM(+B189)</f>
        <v>Day 10 - Big climbing day</v>
      </c>
      <c r="K189" t="s">
        <v>147</v>
      </c>
    </row>
    <row r="190" spans="2:11">
      <c r="B190" t="s">
        <v>8</v>
      </c>
      <c r="D190" t="s">
        <v>8</v>
      </c>
    </row>
    <row r="191" spans="2:11">
      <c r="B191" t="s">
        <v>9</v>
      </c>
      <c r="D191" t="s">
        <v>9</v>
      </c>
    </row>
    <row r="192" spans="2:11">
      <c r="B192" t="s">
        <v>89</v>
      </c>
      <c r="D192" t="s">
        <v>89</v>
      </c>
      <c r="J192" t="str">
        <f>TRIM(+B192)</f>
        <v>Walk the last pass - camp when it gets dark</v>
      </c>
      <c r="K192" t="s">
        <v>148</v>
      </c>
    </row>
    <row r="193" spans="2:11">
      <c r="B193" t="s">
        <v>11</v>
      </c>
      <c r="D193" t="s">
        <v>11</v>
      </c>
    </row>
    <row r="194" spans="2:11">
      <c r="B194" t="s">
        <v>12</v>
      </c>
      <c r="D194" t="s">
        <v>12</v>
      </c>
    </row>
    <row r="195" spans="2:11">
      <c r="B195" t="s">
        <v>13</v>
      </c>
      <c r="D195" t="s">
        <v>13</v>
      </c>
    </row>
    <row r="196" spans="2:11">
      <c r="B196" t="s">
        <v>90</v>
      </c>
      <c r="D196" t="s">
        <v>90</v>
      </c>
      <c r="J196" t="str">
        <f>TRIM(+B196)</f>
        <v>Thursday, June 18, 2015 Ovando to Priest Pass, MT</v>
      </c>
      <c r="K196" t="s">
        <v>149</v>
      </c>
    </row>
    <row r="197" spans="2:11">
      <c r="B197" t="s">
        <v>15</v>
      </c>
      <c r="D197" t="s">
        <v>15</v>
      </c>
    </row>
    <row r="198" spans="2:11">
      <c r="B198" t="s">
        <v>16</v>
      </c>
      <c r="D198" t="s">
        <v>16</v>
      </c>
    </row>
    <row r="199" spans="2:11">
      <c r="B199" t="s">
        <v>91</v>
      </c>
      <c r="D199" t="s">
        <v>91</v>
      </c>
      <c r="J199" t="str">
        <f>TRIM(+B199)</f>
        <v>6:55 AM, 15h10m, 86.70 miles, 8,000 ft of climbing</v>
      </c>
      <c r="K199" t="s">
        <v>150</v>
      </c>
    </row>
    <row r="200" spans="2:11">
      <c r="B200" t="s">
        <v>18</v>
      </c>
      <c r="D200" t="s">
        <v>18</v>
      </c>
    </row>
    <row r="201" spans="2:11">
      <c r="B201" t="s">
        <v>87</v>
      </c>
      <c r="D201" t="s">
        <v>87</v>
      </c>
      <c r="J201" t="str">
        <f>RIGHT(B201,LEN(B201)-FIND("&lt;a href=",B201)-7)</f>
        <v>"tourdivide10.html"&gt;</v>
      </c>
      <c r="K201" t="s">
        <v>146</v>
      </c>
    </row>
    <row r="202" spans="2:11">
      <c r="B202" t="s">
        <v>92</v>
      </c>
      <c r="D202" t="s">
        <v>92</v>
      </c>
      <c r="J202" t="str">
        <f>RIGHT(B202,LEN(B202)-FIND("src=",B202)-4)</f>
        <v>../img/tourdivide/day10/day10pic00.jpg" alt="" width="100%"&gt;</v>
      </c>
      <c r="K202" t="s">
        <v>151</v>
      </c>
    </row>
    <row r="203" spans="2:11">
      <c r="B203" t="s">
        <v>12</v>
      </c>
      <c r="D203" t="s">
        <v>12</v>
      </c>
    </row>
    <row r="204" spans="2:11">
      <c r="B204" t="s">
        <v>93</v>
      </c>
      <c r="D204" t="s">
        <v>93</v>
      </c>
    </row>
    <row r="205" spans="2:11">
      <c r="B205" t="s">
        <v>21</v>
      </c>
      <c r="D205" t="s">
        <v>21</v>
      </c>
    </row>
    <row r="206" spans="2:11">
      <c r="B206" t="s">
        <v>94</v>
      </c>
      <c r="D206" t="s">
        <v>94</v>
      </c>
      <c r="J206" t="str">
        <f>RIGHT(B206,LEN(B206)-FIND("&lt;!--",B206)-3)</f>
        <v xml:space="preserve"> Day 11--&gt;</v>
      </c>
      <c r="K206" t="s">
        <v>145</v>
      </c>
    </row>
    <row r="207" spans="2:11">
      <c r="B207" t="s">
        <v>95</v>
      </c>
      <c r="D207" t="s">
        <v>95</v>
      </c>
      <c r="J207" t="str">
        <f>RIGHT(B207,LEN(B207)-FIND("&lt;a href=",B207)-7)</f>
        <v>"tourdivide11.html"&gt;</v>
      </c>
      <c r="K207" t="s">
        <v>146</v>
      </c>
    </row>
    <row r="208" spans="2:11">
      <c r="B208" t="s">
        <v>6</v>
      </c>
      <c r="D208" t="s">
        <v>6</v>
      </c>
    </row>
    <row r="209" spans="2:11">
      <c r="B209" t="s">
        <v>96</v>
      </c>
      <c r="D209" t="s">
        <v>96</v>
      </c>
      <c r="J209" t="str">
        <f>TRIM(+B209)</f>
        <v>Day 11 - Helena and a rest day on N. Davis St</v>
      </c>
      <c r="K209" t="s">
        <v>147</v>
      </c>
    </row>
    <row r="210" spans="2:11">
      <c r="B210" t="s">
        <v>8</v>
      </c>
      <c r="D210" t="s">
        <v>8</v>
      </c>
    </row>
    <row r="211" spans="2:11">
      <c r="B211" t="s">
        <v>9</v>
      </c>
      <c r="D211" t="s">
        <v>9</v>
      </c>
    </row>
    <row r="212" spans="2:11">
      <c r="B212" t="s">
        <v>97</v>
      </c>
      <c r="D212" t="s">
        <v>97</v>
      </c>
      <c r="J212" t="str">
        <f>TRIM(+B212)</f>
        <v>Trail magic, great breakfast, like new tires and a derailleur-hanger</v>
      </c>
      <c r="K212" t="s">
        <v>148</v>
      </c>
    </row>
    <row r="213" spans="2:11">
      <c r="B213" t="s">
        <v>11</v>
      </c>
      <c r="D213" t="s">
        <v>11</v>
      </c>
    </row>
    <row r="214" spans="2:11">
      <c r="B214" t="s">
        <v>12</v>
      </c>
      <c r="D214" t="s">
        <v>12</v>
      </c>
    </row>
    <row r="215" spans="2:11">
      <c r="B215" t="s">
        <v>13</v>
      </c>
      <c r="D215" t="s">
        <v>13</v>
      </c>
    </row>
    <row r="216" spans="2:11">
      <c r="B216" t="s">
        <v>98</v>
      </c>
      <c r="D216" t="s">
        <v>98</v>
      </c>
      <c r="J216" t="str">
        <f>TRIM(+B216)</f>
        <v>Friday, June 19, 2015 Priest Pass to Helena, MT</v>
      </c>
      <c r="K216" t="s">
        <v>149</v>
      </c>
    </row>
    <row r="217" spans="2:11">
      <c r="B217" t="s">
        <v>15</v>
      </c>
      <c r="D217" t="s">
        <v>15</v>
      </c>
    </row>
    <row r="218" spans="2:11">
      <c r="B218" t="s">
        <v>16</v>
      </c>
      <c r="D218" t="s">
        <v>16</v>
      </c>
    </row>
    <row r="219" spans="2:11">
      <c r="B219" t="s">
        <v>99</v>
      </c>
      <c r="D219" t="s">
        <v>99</v>
      </c>
      <c r="J219" t="str">
        <f>TRIM(+B219)</f>
        <v>5:57am, 1h 6m, 15.9 miles, 262 ft of climbing</v>
      </c>
      <c r="K219" t="s">
        <v>150</v>
      </c>
    </row>
    <row r="220" spans="2:11">
      <c r="B220" t="s">
        <v>18</v>
      </c>
      <c r="D220" t="s">
        <v>18</v>
      </c>
    </row>
    <row r="221" spans="2:11">
      <c r="B221" t="s">
        <v>95</v>
      </c>
      <c r="D221" t="s">
        <v>95</v>
      </c>
      <c r="J221" t="str">
        <f>RIGHT(B221,LEN(B221)-FIND("&lt;a href=",B221)-7)</f>
        <v>"tourdivide11.html"&gt;</v>
      </c>
      <c r="K221" t="s">
        <v>146</v>
      </c>
    </row>
    <row r="222" spans="2:11">
      <c r="B222" t="s">
        <v>100</v>
      </c>
      <c r="D222" t="s">
        <v>100</v>
      </c>
      <c r="J222" t="str">
        <f>RIGHT(B222,LEN(B222)-FIND("src=",B222)-4)</f>
        <v>../img/tourdivide/day11/day11pic02.JPG" alt="" width="100%"&gt;</v>
      </c>
      <c r="K222" t="s">
        <v>151</v>
      </c>
    </row>
    <row r="223" spans="2:11">
      <c r="B223" t="s">
        <v>12</v>
      </c>
      <c r="D223" t="s">
        <v>12</v>
      </c>
    </row>
    <row r="224" spans="2:11">
      <c r="B224" t="s">
        <v>101</v>
      </c>
      <c r="D224" t="s">
        <v>101</v>
      </c>
    </row>
    <row r="225" spans="2:11">
      <c r="B225" t="s">
        <v>21</v>
      </c>
      <c r="D225" t="s">
        <v>21</v>
      </c>
    </row>
    <row r="226" spans="2:11">
      <c r="B226" t="s">
        <v>102</v>
      </c>
      <c r="D226" t="s">
        <v>102</v>
      </c>
      <c r="J226" t="str">
        <f>RIGHT(B226,LEN(B226)-FIND("&lt;!--",B226)-3)</f>
        <v xml:space="preserve"> Day 12--&gt;</v>
      </c>
      <c r="K226" t="s">
        <v>145</v>
      </c>
    </row>
    <row r="227" spans="2:11">
      <c r="B227" t="s">
        <v>103</v>
      </c>
      <c r="D227" t="s">
        <v>103</v>
      </c>
      <c r="J227" t="str">
        <f>RIGHT(B227,LEN(B227)-FIND("&lt;a href=",B227)-7)</f>
        <v>"tourdivide12.html"&gt;</v>
      </c>
      <c r="K227" t="s">
        <v>146</v>
      </c>
    </row>
    <row r="228" spans="2:11">
      <c r="B228" t="s">
        <v>6</v>
      </c>
      <c r="D228" t="s">
        <v>6</v>
      </c>
    </row>
    <row r="229" spans="2:11">
      <c r="B229" t="s">
        <v>104</v>
      </c>
      <c r="D229" t="s">
        <v>104</v>
      </c>
      <c r="J229" t="str">
        <f>TRIM(+B229)</f>
        <v>Day 12 - Rocks, Roots and Missed Buses</v>
      </c>
      <c r="K229" t="s">
        <v>147</v>
      </c>
    </row>
    <row r="230" spans="2:11">
      <c r="B230" t="s">
        <v>8</v>
      </c>
      <c r="D230" t="s">
        <v>8</v>
      </c>
    </row>
    <row r="231" spans="2:11">
      <c r="B231" t="s">
        <v>9</v>
      </c>
      <c r="D231" t="s">
        <v>9</v>
      </c>
    </row>
    <row r="232" spans="2:11">
      <c r="B232" t="s">
        <v>105</v>
      </c>
      <c r="D232" t="s">
        <v>105</v>
      </c>
      <c r="J232" t="str">
        <f>TRIM(+B232)</f>
        <v>Paying for wrong turns</v>
      </c>
      <c r="K232" t="s">
        <v>148</v>
      </c>
    </row>
    <row r="233" spans="2:11">
      <c r="B233" t="s">
        <v>11</v>
      </c>
      <c r="D233" t="s">
        <v>11</v>
      </c>
    </row>
    <row r="234" spans="2:11">
      <c r="B234" t="s">
        <v>12</v>
      </c>
      <c r="D234" t="s">
        <v>12</v>
      </c>
    </row>
    <row r="235" spans="2:11">
      <c r="B235" t="s">
        <v>13</v>
      </c>
      <c r="D235" t="s">
        <v>13</v>
      </c>
    </row>
    <row r="236" spans="2:11">
      <c r="B236" t="s">
        <v>106</v>
      </c>
      <c r="D236" t="s">
        <v>106</v>
      </c>
      <c r="J236" t="str">
        <f>TRIM(+B236)</f>
        <v>Saturday, June 20, 2015 Helena to Butte, MT</v>
      </c>
      <c r="K236" t="s">
        <v>149</v>
      </c>
    </row>
    <row r="237" spans="2:11">
      <c r="B237" t="s">
        <v>15</v>
      </c>
      <c r="D237" t="s">
        <v>15</v>
      </c>
    </row>
    <row r="238" spans="2:11">
      <c r="B238" t="s">
        <v>16</v>
      </c>
      <c r="D238" t="s">
        <v>16</v>
      </c>
    </row>
    <row r="239" spans="2:11">
      <c r="B239" t="s">
        <v>107</v>
      </c>
      <c r="D239" t="s">
        <v>107</v>
      </c>
      <c r="J239" t="str">
        <f>TRIM(+B239)</f>
        <v>6:56 AM 13h 54m 80.0mi 7,970ft of climbing</v>
      </c>
      <c r="K239" t="s">
        <v>150</v>
      </c>
    </row>
    <row r="240" spans="2:11">
      <c r="B240" t="s">
        <v>18</v>
      </c>
      <c r="D240" t="s">
        <v>18</v>
      </c>
    </row>
    <row r="241" spans="2:11">
      <c r="B241" t="s">
        <v>103</v>
      </c>
      <c r="D241" t="s">
        <v>103</v>
      </c>
      <c r="J241" t="str">
        <f>RIGHT(B241,LEN(B241)-FIND("&lt;a href=",B241)-7)</f>
        <v>"tourdivide12.html"&gt;</v>
      </c>
      <c r="K241" t="s">
        <v>146</v>
      </c>
    </row>
    <row r="242" spans="2:11">
      <c r="B242" t="s">
        <v>108</v>
      </c>
      <c r="D242" t="s">
        <v>108</v>
      </c>
      <c r="J242" t="str">
        <f>RIGHT(B242,LEN(B242)-FIND("src=",B242)-4)</f>
        <v>../img/tourdivide/day12/day12pic07.jpg" alt="" width="100%"&gt;</v>
      </c>
      <c r="K242" t="s">
        <v>151</v>
      </c>
    </row>
    <row r="243" spans="2:11">
      <c r="B243" t="s">
        <v>12</v>
      </c>
      <c r="D243" t="s">
        <v>12</v>
      </c>
    </row>
    <row r="244" spans="2:11">
      <c r="B244" t="s">
        <v>109</v>
      </c>
      <c r="D244" t="s">
        <v>109</v>
      </c>
    </row>
    <row r="245" spans="2:11">
      <c r="B245" t="s">
        <v>21</v>
      </c>
      <c r="D245" t="s">
        <v>21</v>
      </c>
    </row>
    <row r="246" spans="2:11">
      <c r="B246" t="s">
        <v>110</v>
      </c>
      <c r="D246" t="s">
        <v>110</v>
      </c>
      <c r="J246" t="str">
        <f>RIGHT(B246,LEN(B246)-FIND("&lt;!--",B246)-3)</f>
        <v xml:space="preserve"> Day 13--&gt;</v>
      </c>
      <c r="K246" t="s">
        <v>145</v>
      </c>
    </row>
    <row r="247" spans="2:11">
      <c r="B247" t="s">
        <v>111</v>
      </c>
      <c r="D247" t="s">
        <v>111</v>
      </c>
      <c r="J247" t="str">
        <f>RIGHT(B247,LEN(B247)-FIND("&lt;a href=",B247)-7)</f>
        <v>"tourdivide13.html"&gt;</v>
      </c>
      <c r="K247" t="s">
        <v>146</v>
      </c>
    </row>
    <row r="248" spans="2:11">
      <c r="B248" t="s">
        <v>6</v>
      </c>
      <c r="D248" t="s">
        <v>6</v>
      </c>
    </row>
    <row r="249" spans="2:11">
      <c r="B249" t="s">
        <v>112</v>
      </c>
      <c r="D249" t="s">
        <v>112</v>
      </c>
      <c r="J249" t="str">
        <f>TRIM(+B249)</f>
        <v>Day 13 - Rerouting to Jim's Tour Divide</v>
      </c>
      <c r="K249" t="s">
        <v>147</v>
      </c>
    </row>
    <row r="250" spans="2:11">
      <c r="B250" t="s">
        <v>8</v>
      </c>
      <c r="D250" t="s">
        <v>8</v>
      </c>
    </row>
    <row r="251" spans="2:11">
      <c r="B251" t="s">
        <v>9</v>
      </c>
      <c r="D251" t="s">
        <v>9</v>
      </c>
    </row>
    <row r="252" spans="2:11">
      <c r="B252" t="s">
        <v>113</v>
      </c>
      <c r="D252" t="s">
        <v>113</v>
      </c>
      <c r="J252" t="str">
        <f>TRIM(+B252)</f>
        <v>Chocolate Milk at Great Divide Outfitters</v>
      </c>
      <c r="K252" t="s">
        <v>148</v>
      </c>
    </row>
    <row r="253" spans="2:11">
      <c r="B253" t="s">
        <v>11</v>
      </c>
      <c r="D253" t="s">
        <v>11</v>
      </c>
    </row>
    <row r="254" spans="2:11">
      <c r="B254" t="s">
        <v>12</v>
      </c>
      <c r="D254" t="s">
        <v>12</v>
      </c>
    </row>
    <row r="255" spans="2:11">
      <c r="B255" t="s">
        <v>13</v>
      </c>
      <c r="D255" t="s">
        <v>13</v>
      </c>
    </row>
    <row r="256" spans="2:11">
      <c r="B256" t="s">
        <v>114</v>
      </c>
      <c r="D256" t="s">
        <v>114</v>
      </c>
      <c r="J256" t="str">
        <f>TRIM(+B256)</f>
        <v>Sunday, June 21, 2015 Butte to Wise River</v>
      </c>
      <c r="K256" t="s">
        <v>149</v>
      </c>
    </row>
    <row r="257" spans="2:11">
      <c r="B257" t="s">
        <v>15</v>
      </c>
      <c r="D257" t="s">
        <v>15</v>
      </c>
    </row>
    <row r="258" spans="2:11">
      <c r="B258" t="s">
        <v>16</v>
      </c>
      <c r="D258" t="s">
        <v>16</v>
      </c>
    </row>
    <row r="259" spans="2:11">
      <c r="B259" t="s">
        <v>115</v>
      </c>
      <c r="D259" t="s">
        <v>115</v>
      </c>
      <c r="J259" t="str">
        <f>TRIM(+B259)</f>
        <v>8:45 AM, 8h 57m, 50.60 miles, 2,960 ft of climbing</v>
      </c>
      <c r="K259" t="s">
        <v>150</v>
      </c>
    </row>
    <row r="260" spans="2:11">
      <c r="B260" t="s">
        <v>18</v>
      </c>
      <c r="D260" t="s">
        <v>18</v>
      </c>
    </row>
    <row r="261" spans="2:11">
      <c r="B261" t="s">
        <v>111</v>
      </c>
      <c r="D261" t="s">
        <v>111</v>
      </c>
      <c r="J261" t="str">
        <f>RIGHT(B261,LEN(B261)-FIND("&lt;a href=",B261)-7)</f>
        <v>"tourdivide13.html"&gt;</v>
      </c>
      <c r="K261" t="s">
        <v>146</v>
      </c>
    </row>
    <row r="262" spans="2:11">
      <c r="B262" t="s">
        <v>116</v>
      </c>
      <c r="D262" t="s">
        <v>116</v>
      </c>
      <c r="J262" t="str">
        <f>RIGHT(B262,LEN(B262)-FIND("src=",B262)-4)</f>
        <v>../img/tourdivide/day13/day13pic02.JPG" alt="" width="100%"&gt;</v>
      </c>
      <c r="K262" t="s">
        <v>151</v>
      </c>
    </row>
    <row r="263" spans="2:11">
      <c r="B263" t="s">
        <v>12</v>
      </c>
      <c r="D263" t="s">
        <v>12</v>
      </c>
    </row>
    <row r="264" spans="2:11">
      <c r="B264" t="s">
        <v>117</v>
      </c>
      <c r="D264" t="s">
        <v>117</v>
      </c>
    </row>
    <row r="265" spans="2:11">
      <c r="B265" t="s">
        <v>21</v>
      </c>
      <c r="D265" t="s">
        <v>21</v>
      </c>
    </row>
    <row r="266" spans="2:11">
      <c r="B266" t="s">
        <v>118</v>
      </c>
      <c r="D266" t="s">
        <v>118</v>
      </c>
      <c r="J266" t="str">
        <f>RIGHT(B266,LEN(B266)-FIND("&lt;!--",B266)-3)</f>
        <v xml:space="preserve"> Day 14--&gt;</v>
      </c>
      <c r="K266" t="s">
        <v>145</v>
      </c>
    </row>
    <row r="267" spans="2:11">
      <c r="B267" t="s">
        <v>119</v>
      </c>
      <c r="D267" t="s">
        <v>119</v>
      </c>
      <c r="J267" t="str">
        <f>RIGHT(B267,LEN(B267)-FIND("&lt;a href=",B267)-7)</f>
        <v>"tourdivide14.html"&gt;</v>
      </c>
      <c r="K267" t="s">
        <v>146</v>
      </c>
    </row>
    <row r="268" spans="2:11">
      <c r="B268" t="s">
        <v>6</v>
      </c>
      <c r="D268" t="s">
        <v>6</v>
      </c>
    </row>
    <row r="269" spans="2:11">
      <c r="B269" t="s">
        <v>120</v>
      </c>
      <c r="D269" t="s">
        <v>120</v>
      </c>
      <c r="J269" t="str">
        <f>TRIM(+B269)</f>
        <v>Day 14 - Stretching it out and covering ground</v>
      </c>
      <c r="K269" t="s">
        <v>147</v>
      </c>
    </row>
    <row r="270" spans="2:11">
      <c r="B270" t="s">
        <v>8</v>
      </c>
      <c r="D270" t="s">
        <v>8</v>
      </c>
    </row>
    <row r="271" spans="2:11">
      <c r="B271" t="s">
        <v>9</v>
      </c>
      <c r="D271" t="s">
        <v>9</v>
      </c>
    </row>
    <row r="272" spans="2:11">
      <c r="B272" t="s">
        <v>121</v>
      </c>
      <c r="D272" t="s">
        <v>121</v>
      </c>
      <c r="J272" t="str">
        <f>TRIM(+B272)</f>
        <v>What about this road by the reservoir?</v>
      </c>
      <c r="K272" t="s">
        <v>148</v>
      </c>
    </row>
    <row r="273" spans="2:11">
      <c r="B273" t="s">
        <v>11</v>
      </c>
      <c r="D273" t="s">
        <v>11</v>
      </c>
    </row>
    <row r="274" spans="2:11">
      <c r="B274" t="s">
        <v>12</v>
      </c>
      <c r="D274" t="s">
        <v>12</v>
      </c>
    </row>
    <row r="275" spans="2:11">
      <c r="B275" t="s">
        <v>13</v>
      </c>
      <c r="D275" t="s">
        <v>13</v>
      </c>
    </row>
    <row r="276" spans="2:11">
      <c r="B276" t="s">
        <v>122</v>
      </c>
      <c r="D276" t="s">
        <v>122</v>
      </c>
      <c r="J276" t="str">
        <f>TRIM(+B276)</f>
        <v>Monday, June 22, 2015 Wise River to Lima</v>
      </c>
      <c r="K276" t="s">
        <v>149</v>
      </c>
    </row>
    <row r="277" spans="2:11">
      <c r="B277" t="s">
        <v>15</v>
      </c>
      <c r="D277" t="s">
        <v>15</v>
      </c>
    </row>
    <row r="278" spans="2:11">
      <c r="B278" t="s">
        <v>16</v>
      </c>
      <c r="D278" t="s">
        <v>16</v>
      </c>
    </row>
    <row r="279" spans="2:11">
      <c r="B279" t="s">
        <v>123</v>
      </c>
      <c r="D279" t="s">
        <v>123</v>
      </c>
      <c r="J279" t="str">
        <f>TRIM(+B279)</f>
        <v>6:23am, 11h 21m, 105 miles, 4,188 ft of climbing</v>
      </c>
      <c r="K279" t="s">
        <v>150</v>
      </c>
    </row>
    <row r="280" spans="2:11">
      <c r="B280" t="s">
        <v>18</v>
      </c>
      <c r="D280" t="s">
        <v>18</v>
      </c>
    </row>
    <row r="281" spans="2:11">
      <c r="B281" t="s">
        <v>119</v>
      </c>
      <c r="D281" t="s">
        <v>119</v>
      </c>
      <c r="J281" t="str">
        <f>RIGHT(B281,LEN(B281)-FIND("&lt;a href=",B281)-7)</f>
        <v>"tourdivide14.html"&gt;</v>
      </c>
      <c r="K281" t="s">
        <v>146</v>
      </c>
    </row>
    <row r="282" spans="2:11">
      <c r="B282" t="s">
        <v>124</v>
      </c>
      <c r="D282" t="s">
        <v>124</v>
      </c>
      <c r="J282" t="str">
        <f>RIGHT(B282,LEN(B282)-FIND("src=",B282)-4)</f>
        <v>../img/tourdivide/day14/day14pic00.jpg" alt="" width="100%"&gt;</v>
      </c>
      <c r="K282" t="s">
        <v>151</v>
      </c>
    </row>
    <row r="283" spans="2:11">
      <c r="B283" t="s">
        <v>12</v>
      </c>
      <c r="D283" t="s">
        <v>12</v>
      </c>
    </row>
    <row r="284" spans="2:11">
      <c r="B284" t="s">
        <v>125</v>
      </c>
      <c r="D284" t="s">
        <v>125</v>
      </c>
    </row>
    <row r="286" spans="2:11">
      <c r="B286" t="s">
        <v>152</v>
      </c>
      <c r="J286" t="str">
        <f>RIGHT(B286,LEN(B286)-FIND("&lt;!--",B286)-3)</f>
        <v xml:space="preserve"> Day 15--&gt;</v>
      </c>
      <c r="K286" t="s">
        <v>145</v>
      </c>
    </row>
    <row r="287" spans="2:11">
      <c r="B287" t="s">
        <v>153</v>
      </c>
      <c r="J287" t="str">
        <f>RIGHT(B287,LEN(B287)-FIND("&lt;a href=",B287)-7)</f>
        <v>"tourdivide15.html"&gt;</v>
      </c>
      <c r="K287" t="s">
        <v>146</v>
      </c>
    </row>
    <row r="288" spans="2:11">
      <c r="B288" t="s">
        <v>154</v>
      </c>
    </row>
    <row r="289" spans="2:11">
      <c r="B289" t="s">
        <v>155</v>
      </c>
      <c r="J289" t="str">
        <f>TRIM(+B289)</f>
        <v>Day 15 - Wide open spaces</v>
      </c>
      <c r="K289" t="s">
        <v>147</v>
      </c>
    </row>
    <row r="290" spans="2:11">
      <c r="B290" t="s">
        <v>156</v>
      </c>
    </row>
    <row r="291" spans="2:11">
      <c r="B291" t="s">
        <v>157</v>
      </c>
    </row>
    <row r="292" spans="2:11">
      <c r="B292" t="s">
        <v>158</v>
      </c>
      <c r="J292" t="str">
        <f>TRIM(+B292)</f>
        <v>Leaving Montana (finally)</v>
      </c>
      <c r="K292" t="s">
        <v>148</v>
      </c>
    </row>
    <row r="293" spans="2:11">
      <c r="B293" t="s">
        <v>159</v>
      </c>
    </row>
    <row r="294" spans="2:11">
      <c r="B294" t="s">
        <v>160</v>
      </c>
    </row>
    <row r="295" spans="2:11">
      <c r="B295" t="s">
        <v>161</v>
      </c>
    </row>
    <row r="296" spans="2:11">
      <c r="B296" t="s">
        <v>162</v>
      </c>
      <c r="J296" t="str">
        <f>TRIM(+B296)</f>
        <v>Tuesday, June 23, 2015 Lima to Mack's Inn</v>
      </c>
      <c r="K296" t="s">
        <v>149</v>
      </c>
    </row>
    <row r="297" spans="2:11">
      <c r="B297" t="s">
        <v>163</v>
      </c>
    </row>
    <row r="298" spans="2:11">
      <c r="B298" t="s">
        <v>164</v>
      </c>
    </row>
    <row r="299" spans="2:11">
      <c r="B299" t="s">
        <v>165</v>
      </c>
      <c r="J299" t="str">
        <f>TRIM(+B299)</f>
        <v>7:23am, 14h 15mm, 89 miles, 2,566 ft of climbing</v>
      </c>
      <c r="K299" t="s">
        <v>150</v>
      </c>
    </row>
    <row r="300" spans="2:11">
      <c r="B300" t="s">
        <v>166</v>
      </c>
    </row>
    <row r="301" spans="2:11">
      <c r="B301" t="s">
        <v>153</v>
      </c>
      <c r="J301" t="str">
        <f>RIGHT(B301,LEN(B301)-FIND("&lt;a href=",B301)-7)</f>
        <v>"tourdivide15.html"&gt;</v>
      </c>
      <c r="K301" t="s">
        <v>146</v>
      </c>
    </row>
    <row r="302" spans="2:11">
      <c r="B302" t="s">
        <v>167</v>
      </c>
      <c r="J302" t="str">
        <f>RIGHT(B302,LEN(B302)-FIND("src=",B302)-4)</f>
        <v>../img/tourdivide/day15/day15pic00.JPG" alt="" width="100%"&gt;</v>
      </c>
      <c r="K302" t="s">
        <v>151</v>
      </c>
    </row>
    <row r="303" spans="2:11">
      <c r="B303" t="s">
        <v>160</v>
      </c>
    </row>
    <row r="304" spans="2:11">
      <c r="B304" t="s">
        <v>168</v>
      </c>
    </row>
    <row r="305" spans="2:11">
      <c r="B305" t="s">
        <v>169</v>
      </c>
    </row>
    <row r="306" spans="2:11">
      <c r="B306" t="s">
        <v>170</v>
      </c>
      <c r="J306" t="str">
        <f>RIGHT(B306,LEN(B306)-FIND("&lt;!--",B306)-3)</f>
        <v xml:space="preserve"> Day 16--&gt;</v>
      </c>
      <c r="K306" t="s">
        <v>145</v>
      </c>
    </row>
    <row r="307" spans="2:11">
      <c r="B307" t="s">
        <v>171</v>
      </c>
      <c r="J307" t="str">
        <f>RIGHT(B307,LEN(B307)-FIND("&lt;a href=",B307)-7)</f>
        <v>"tourdivide16.html"&gt;</v>
      </c>
      <c r="K307" t="s">
        <v>146</v>
      </c>
    </row>
    <row r="308" spans="2:11">
      <c r="B308" t="s">
        <v>154</v>
      </c>
    </row>
    <row r="309" spans="2:11">
      <c r="B309" t="s">
        <v>172</v>
      </c>
      <c r="J309" t="str">
        <f>TRIM(+B309)</f>
        <v>Day 16 - Scenic Byway and some assistance</v>
      </c>
      <c r="K309" t="s">
        <v>147</v>
      </c>
    </row>
    <row r="310" spans="2:11">
      <c r="B310" t="s">
        <v>156</v>
      </c>
    </row>
    <row r="311" spans="2:11">
      <c r="B311" t="s">
        <v>157</v>
      </c>
    </row>
    <row r="312" spans="2:11">
      <c r="B312" t="s">
        <v>173</v>
      </c>
      <c r="J312" t="str">
        <f>TRIM(+B312)</f>
        <v>Past Mesa Falls towards the Tetons</v>
      </c>
      <c r="K312" t="s">
        <v>148</v>
      </c>
    </row>
    <row r="313" spans="2:11">
      <c r="B313" t="s">
        <v>159</v>
      </c>
    </row>
    <row r="314" spans="2:11">
      <c r="B314" t="s">
        <v>160</v>
      </c>
    </row>
    <row r="315" spans="2:11">
      <c r="B315" t="s">
        <v>161</v>
      </c>
    </row>
    <row r="316" spans="2:11">
      <c r="B316" t="s">
        <v>174</v>
      </c>
      <c r="J316" t="str">
        <f>TRIM(+B316)</f>
        <v>Wednesday, June 24, 2015 Island Park to Flagg Ranch, WY</v>
      </c>
      <c r="K316" t="s">
        <v>149</v>
      </c>
    </row>
    <row r="317" spans="2:11">
      <c r="B317" t="s">
        <v>163</v>
      </c>
    </row>
    <row r="318" spans="2:11">
      <c r="B318" t="s">
        <v>164</v>
      </c>
    </row>
    <row r="319" spans="2:11">
      <c r="B319" t="s">
        <v>175</v>
      </c>
      <c r="J319" t="str">
        <f>TRIM(+B319)</f>
        <v>8:14 AM 81.1mi 3,374ft</v>
      </c>
      <c r="K319" t="s">
        <v>150</v>
      </c>
    </row>
    <row r="320" spans="2:11">
      <c r="B320" t="s">
        <v>166</v>
      </c>
    </row>
    <row r="321" spans="2:11">
      <c r="B321" t="s">
        <v>171</v>
      </c>
      <c r="J321" t="str">
        <f>RIGHT(B321,LEN(B321)-FIND("&lt;a href=",B321)-7)</f>
        <v>"tourdivide16.html"&gt;</v>
      </c>
      <c r="K321" t="s">
        <v>146</v>
      </c>
    </row>
    <row r="322" spans="2:11">
      <c r="B322" t="s">
        <v>176</v>
      </c>
      <c r="J322" t="str">
        <f>RIGHT(B322,LEN(B322)-FIND("src=",B322)-4)</f>
        <v>../img/tourdivide/day16/day16pic00.JPG" alt="" width="100%"&gt;</v>
      </c>
      <c r="K322" t="s">
        <v>151</v>
      </c>
    </row>
    <row r="323" spans="2:11">
      <c r="B323" t="s">
        <v>160</v>
      </c>
    </row>
    <row r="324" spans="2:11">
      <c r="B324" t="s">
        <v>177</v>
      </c>
    </row>
    <row r="325" spans="2:11">
      <c r="B325" t="s">
        <v>169</v>
      </c>
    </row>
    <row r="326" spans="2:11">
      <c r="B326" t="s">
        <v>178</v>
      </c>
      <c r="J326" t="str">
        <f>RIGHT(B326,LEN(B326)-FIND("&lt;!--",B326)-3)</f>
        <v xml:space="preserve"> Day 17--&gt;</v>
      </c>
      <c r="K326" t="s">
        <v>145</v>
      </c>
    </row>
    <row r="327" spans="2:11">
      <c r="B327" t="s">
        <v>179</v>
      </c>
      <c r="J327" t="str">
        <f>RIGHT(B327,LEN(B327)-FIND("&lt;a href=",B327)-7)</f>
        <v>"tourdivide17.html"&gt;</v>
      </c>
      <c r="K327" t="s">
        <v>146</v>
      </c>
    </row>
    <row r="328" spans="2:11">
      <c r="B328" t="s">
        <v>154</v>
      </c>
    </row>
    <row r="329" spans="2:11">
      <c r="B329" t="s">
        <v>180</v>
      </c>
      <c r="J329" t="str">
        <f>TRIM(+B329)</f>
        <v>Day 17 - Grand Teton NP in AM, Togwotee in PM</v>
      </c>
      <c r="K329" t="s">
        <v>147</v>
      </c>
    </row>
    <row r="330" spans="2:11">
      <c r="B330" t="s">
        <v>156</v>
      </c>
    </row>
    <row r="331" spans="2:11">
      <c r="B331" t="s">
        <v>157</v>
      </c>
    </row>
    <row r="332" spans="2:11">
      <c r="B332" t="s">
        <v>181</v>
      </c>
      <c r="J332" t="str">
        <f>TRIM(+B332)</f>
        <v>Lost tourists and finding hidden lakes</v>
      </c>
      <c r="K332" t="s">
        <v>148</v>
      </c>
    </row>
    <row r="333" spans="2:11">
      <c r="B333" t="s">
        <v>159</v>
      </c>
    </row>
    <row r="334" spans="2:11">
      <c r="B334" t="s">
        <v>160</v>
      </c>
    </row>
    <row r="335" spans="2:11">
      <c r="B335" t="s">
        <v>161</v>
      </c>
    </row>
    <row r="336" spans="2:11">
      <c r="B336" t="s">
        <v>182</v>
      </c>
      <c r="J336" t="str">
        <f>TRIM(+B336)</f>
        <v>Thursday, June 25, 2015 Flagg Ranch to Lava Mountain Lodge, WY</v>
      </c>
      <c r="K336" t="s">
        <v>149</v>
      </c>
    </row>
    <row r="337" spans="2:11">
      <c r="B337" t="s">
        <v>163</v>
      </c>
    </row>
    <row r="338" spans="2:11">
      <c r="B338" t="s">
        <v>164</v>
      </c>
    </row>
    <row r="339" spans="2:11">
      <c r="B339" t="s">
        <v>183</v>
      </c>
      <c r="J339" t="str">
        <f>TRIM(+B339)</f>
        <v>08:14 AM, 61.8mi, 4,042ft of climbing</v>
      </c>
      <c r="K339" t="s">
        <v>150</v>
      </c>
    </row>
    <row r="340" spans="2:11">
      <c r="B340" t="s">
        <v>166</v>
      </c>
    </row>
    <row r="341" spans="2:11">
      <c r="B341" t="s">
        <v>179</v>
      </c>
      <c r="J341" t="str">
        <f>RIGHT(B341,LEN(B341)-FIND("&lt;a href=",B341)-7)</f>
        <v>"tourdivide17.html"&gt;</v>
      </c>
      <c r="K341" t="s">
        <v>146</v>
      </c>
    </row>
    <row r="342" spans="2:11">
      <c r="B342" t="s">
        <v>184</v>
      </c>
      <c r="J342" t="str">
        <f>RIGHT(B342,LEN(B342)-FIND("src=",B342)-4)</f>
        <v>../img/tourdivide/day17/day17pic00.jpg" alt="" width="100%"&gt;</v>
      </c>
      <c r="K342" t="s">
        <v>151</v>
      </c>
    </row>
    <row r="343" spans="2:11">
      <c r="B343" t="s">
        <v>160</v>
      </c>
    </row>
    <row r="344" spans="2:11">
      <c r="B344" t="s">
        <v>185</v>
      </c>
    </row>
    <row r="345" spans="2:11">
      <c r="B345" t="s">
        <v>169</v>
      </c>
    </row>
    <row r="346" spans="2:11">
      <c r="B346" t="s">
        <v>186</v>
      </c>
      <c r="J346" t="str">
        <f>RIGHT(B346,LEN(B346)-FIND("&lt;!--",B346)-3)</f>
        <v xml:space="preserve"> Day 18--&gt;</v>
      </c>
      <c r="K346" t="s">
        <v>145</v>
      </c>
    </row>
    <row r="347" spans="2:11">
      <c r="B347" t="s">
        <v>187</v>
      </c>
      <c r="J347" t="str">
        <f>RIGHT(B347,LEN(B347)-FIND("&lt;a href=",B347)-7)</f>
        <v>"tourdivide18.html"&gt;</v>
      </c>
      <c r="K347" t="s">
        <v>146</v>
      </c>
    </row>
    <row r="348" spans="2:11">
      <c r="B348" t="s">
        <v>154</v>
      </c>
    </row>
    <row r="349" spans="2:11">
      <c r="B349" t="s">
        <v>188</v>
      </c>
      <c r="J349" t="str">
        <f>TRIM(+B349)</f>
        <v>Day 18 - Union Pass only better</v>
      </c>
      <c r="K349" t="s">
        <v>147</v>
      </c>
    </row>
    <row r="350" spans="2:11">
      <c r="B350" t="s">
        <v>156</v>
      </c>
    </row>
    <row r="351" spans="2:11">
      <c r="B351" t="s">
        <v>157</v>
      </c>
    </row>
    <row r="352" spans="2:11">
      <c r="B352" t="s">
        <v>189</v>
      </c>
      <c r="J352" t="str">
        <f>TRIM(+B352)</f>
        <v>The Devil's Hole Trail and riding the divide</v>
      </c>
      <c r="K352" t="s">
        <v>148</v>
      </c>
    </row>
    <row r="353" spans="2:11">
      <c r="B353" t="s">
        <v>159</v>
      </c>
    </row>
    <row r="354" spans="2:11">
      <c r="B354" t="s">
        <v>160</v>
      </c>
    </row>
    <row r="355" spans="2:11">
      <c r="B355" t="s">
        <v>161</v>
      </c>
    </row>
    <row r="356" spans="2:11">
      <c r="B356" t="s">
        <v>190</v>
      </c>
      <c r="J356" t="str">
        <f>TRIM(+B356)</f>
        <v>Friday, June 26, 2015 Lava Mountain Lodge to Pinedale, WY</v>
      </c>
      <c r="K356" t="s">
        <v>149</v>
      </c>
    </row>
    <row r="357" spans="2:11">
      <c r="B357" t="s">
        <v>163</v>
      </c>
    </row>
    <row r="358" spans="2:11">
      <c r="B358" t="s">
        <v>164</v>
      </c>
    </row>
    <row r="359" spans="2:11">
      <c r="B359" t="s">
        <v>191</v>
      </c>
      <c r="J359" t="str">
        <f>TRIM(+B359)</f>
        <v>6:24 AM 82.6mi 4,157ft of climbing</v>
      </c>
      <c r="K359" t="s">
        <v>150</v>
      </c>
    </row>
    <row r="360" spans="2:11">
      <c r="B360" t="s">
        <v>166</v>
      </c>
    </row>
    <row r="361" spans="2:11">
      <c r="B361" t="s">
        <v>192</v>
      </c>
      <c r="J361" t="str">
        <f>RIGHT(B361,LEN(B361)-FIND("&lt;a href=",B361)-7)</f>
        <v>"tourdivide18.html#"&gt;</v>
      </c>
      <c r="K361" t="s">
        <v>146</v>
      </c>
    </row>
    <row r="362" spans="2:11">
      <c r="B362" t="s">
        <v>193</v>
      </c>
      <c r="J362" t="str">
        <f>RIGHT(B362,LEN(B362)-FIND("src=",B362)-4)</f>
        <v>../img/tourdivide/day18/day18pic00.JPG" alt="" width="100%"&gt;</v>
      </c>
      <c r="K362" t="s">
        <v>151</v>
      </c>
    </row>
    <row r="363" spans="2:11">
      <c r="B363" t="s">
        <v>160</v>
      </c>
    </row>
    <row r="364" spans="2:11">
      <c r="B364" t="s">
        <v>194</v>
      </c>
    </row>
    <row r="365" spans="2:11">
      <c r="B365" t="s">
        <v>169</v>
      </c>
    </row>
    <row r="366" spans="2:11">
      <c r="B366" t="s">
        <v>195</v>
      </c>
      <c r="J366" t="str">
        <f>RIGHT(B366,LEN(B366)-FIND("&lt;!--",B366)-3)</f>
        <v xml:space="preserve"> Day 19--&gt;</v>
      </c>
      <c r="K366" t="s">
        <v>145</v>
      </c>
    </row>
    <row r="367" spans="2:11">
      <c r="B367" t="s">
        <v>196</v>
      </c>
      <c r="J367" t="str">
        <f>RIGHT(B367,LEN(B367)-FIND("&lt;a href=",B367)-7)</f>
        <v>"tourdivide19.html"&gt;</v>
      </c>
      <c r="K367" t="s">
        <v>146</v>
      </c>
    </row>
    <row r="368" spans="2:11">
      <c r="B368" t="s">
        <v>154</v>
      </c>
    </row>
    <row r="369" spans="2:11">
      <c r="B369" t="s">
        <v>197</v>
      </c>
      <c r="J369" t="str">
        <f>TRIM(+B369)</f>
        <v>Day 19 - Wyoming - after the mountains</v>
      </c>
      <c r="K369" t="s">
        <v>147</v>
      </c>
    </row>
    <row r="370" spans="2:11">
      <c r="B370" t="s">
        <v>156</v>
      </c>
    </row>
    <row r="371" spans="2:11">
      <c r="B371" t="s">
        <v>157</v>
      </c>
    </row>
    <row r="372" spans="2:11">
      <c r="B372" t="s">
        <v>198</v>
      </c>
      <c r="J372" t="str">
        <f>TRIM(+B372)</f>
        <v>A long, hot day in the desert</v>
      </c>
      <c r="K372" t="s">
        <v>148</v>
      </c>
    </row>
    <row r="373" spans="2:11">
      <c r="B373" t="s">
        <v>159</v>
      </c>
    </row>
    <row r="374" spans="2:11">
      <c r="B374" t="s">
        <v>160</v>
      </c>
    </row>
    <row r="375" spans="2:11">
      <c r="B375" t="s">
        <v>161</v>
      </c>
    </row>
    <row r="376" spans="2:11">
      <c r="B376" t="s">
        <v>199</v>
      </c>
      <c r="J376" t="str">
        <f>TRIM(+B376)</f>
        <v>Saturday, June 27, 2015 Pinedale to Atlantic City, WY</v>
      </c>
      <c r="K376" t="s">
        <v>149</v>
      </c>
    </row>
    <row r="377" spans="2:11">
      <c r="B377" t="s">
        <v>163</v>
      </c>
    </row>
    <row r="378" spans="2:11">
      <c r="B378" t="s">
        <v>164</v>
      </c>
    </row>
    <row r="379" spans="2:11">
      <c r="B379" t="s">
        <v>200</v>
      </c>
      <c r="J379" t="str">
        <f>TRIM(+B379)</f>
        <v>07:52 AM, 87.7mi, 3,560ft of climbing</v>
      </c>
      <c r="K379" t="s">
        <v>150</v>
      </c>
    </row>
    <row r="380" spans="2:11">
      <c r="B380" t="s">
        <v>166</v>
      </c>
    </row>
    <row r="381" spans="2:11">
      <c r="B381" t="s">
        <v>196</v>
      </c>
      <c r="J381" t="str">
        <f>RIGHT(B381,LEN(B381)-FIND("&lt;a href=",B381)-7)</f>
        <v>"tourdivide19.html"&gt;</v>
      </c>
      <c r="K381" t="s">
        <v>146</v>
      </c>
    </row>
    <row r="382" spans="2:11">
      <c r="B382" t="s">
        <v>201</v>
      </c>
      <c r="J382" t="str">
        <f>RIGHT(B382,LEN(B382)-FIND("src=",B382)-4)</f>
        <v>../img/tourdivide/day19/day19pic05d.JPG" alt="" width="100%"&gt;</v>
      </c>
      <c r="K382" t="s">
        <v>151</v>
      </c>
    </row>
    <row r="383" spans="2:11">
      <c r="B383" t="s">
        <v>160</v>
      </c>
    </row>
    <row r="384" spans="2:11">
      <c r="B384" t="s">
        <v>202</v>
      </c>
    </row>
    <row r="385" spans="2:11">
      <c r="B385" t="s">
        <v>169</v>
      </c>
    </row>
    <row r="386" spans="2:11">
      <c r="B386" t="s">
        <v>203</v>
      </c>
      <c r="J386" t="str">
        <f>RIGHT(B386,LEN(B386)-FIND("&lt;!--",B386)-3)</f>
        <v xml:space="preserve"> Day 20--&gt;</v>
      </c>
      <c r="K386" t="s">
        <v>145</v>
      </c>
    </row>
    <row r="387" spans="2:11">
      <c r="B387" t="s">
        <v>204</v>
      </c>
      <c r="J387" t="str">
        <f>RIGHT(B387,LEN(B387)-FIND("&lt;a href=",B387)-7)</f>
        <v>"tourdivide20.html"&gt;</v>
      </c>
      <c r="K387" t="s">
        <v>146</v>
      </c>
    </row>
    <row r="388" spans="2:11">
      <c r="B388" t="s">
        <v>154</v>
      </c>
    </row>
    <row r="389" spans="2:11">
      <c r="B389" t="s">
        <v>205</v>
      </c>
      <c r="J389" t="str">
        <f>TRIM(+B389)</f>
        <v>Day 20 - Another long day in Wyoming's Great Basin</v>
      </c>
      <c r="K389" t="s">
        <v>147</v>
      </c>
    </row>
    <row r="390" spans="2:11">
      <c r="B390" t="s">
        <v>156</v>
      </c>
    </row>
    <row r="391" spans="2:11">
      <c r="B391" t="s">
        <v>157</v>
      </c>
    </row>
    <row r="392" spans="2:11">
      <c r="B392" t="s">
        <v>206</v>
      </c>
      <c r="J392" t="str">
        <f>TRIM(+B392)</f>
        <v>Water supply and disappearing jeep trails</v>
      </c>
      <c r="K392" t="s">
        <v>148</v>
      </c>
    </row>
    <row r="393" spans="2:11">
      <c r="B393" t="s">
        <v>159</v>
      </c>
    </row>
    <row r="394" spans="2:11">
      <c r="B394" t="s">
        <v>160</v>
      </c>
    </row>
    <row r="395" spans="2:11">
      <c r="B395" t="s">
        <v>161</v>
      </c>
    </row>
    <row r="396" spans="2:11">
      <c r="B396" t="s">
        <v>207</v>
      </c>
      <c r="J396" t="str">
        <f>TRIM(+B396)</f>
        <v>Sunday, June 28, 2015 Atlantic City to Wamsutter, WY</v>
      </c>
      <c r="K396" t="s">
        <v>149</v>
      </c>
    </row>
    <row r="397" spans="2:11">
      <c r="B397" t="s">
        <v>163</v>
      </c>
    </row>
    <row r="398" spans="2:11">
      <c r="B398" t="s">
        <v>164</v>
      </c>
    </row>
    <row r="399" spans="2:11">
      <c r="B399" t="s">
        <v>208</v>
      </c>
      <c r="J399" t="str">
        <f>TRIM(+B399)</f>
        <v>07:15 AM, 97.9mi, 2,712ft of climbing</v>
      </c>
      <c r="K399" t="s">
        <v>150</v>
      </c>
    </row>
    <row r="400" spans="2:11">
      <c r="B400" t="s">
        <v>166</v>
      </c>
    </row>
    <row r="401" spans="2:11">
      <c r="B401" t="s">
        <v>209</v>
      </c>
      <c r="J401" t="str">
        <f>RIGHT(B401,LEN(B401)-FIND("&lt;a href=",B401)-7)</f>
        <v>"tourdivide20.html#"&gt;</v>
      </c>
      <c r="K401" t="s">
        <v>146</v>
      </c>
    </row>
    <row r="402" spans="2:11">
      <c r="B402" t="s">
        <v>210</v>
      </c>
      <c r="J402" t="str">
        <f>RIGHT(B402,LEN(B402)-FIND("src=",B402)-4)</f>
        <v>../img/tourdivide/day20/day20pic00.JPG" alt="" width="100%"&gt;</v>
      </c>
      <c r="K402" t="s">
        <v>151</v>
      </c>
    </row>
    <row r="403" spans="2:11">
      <c r="B403" t="s">
        <v>160</v>
      </c>
    </row>
    <row r="404" spans="2:11">
      <c r="B404" t="s">
        <v>211</v>
      </c>
    </row>
    <row r="405" spans="2:11">
      <c r="B405" t="s">
        <v>169</v>
      </c>
    </row>
    <row r="406" spans="2:11">
      <c r="B406" t="s">
        <v>212</v>
      </c>
      <c r="J406" t="str">
        <f>RIGHT(B406,LEN(B406)-FIND("&lt;!--",B406)-3)</f>
        <v xml:space="preserve"> Day 21--&gt;</v>
      </c>
      <c r="K406" t="s">
        <v>145</v>
      </c>
    </row>
    <row r="407" spans="2:11">
      <c r="B407" t="s">
        <v>213</v>
      </c>
      <c r="J407" t="str">
        <f>RIGHT(B407,LEN(B407)-FIND("&lt;a href=",B407)-7)</f>
        <v>"tourdivide21.html"&gt;</v>
      </c>
      <c r="K407" t="s">
        <v>146</v>
      </c>
    </row>
    <row r="408" spans="2:11">
      <c r="B408" t="s">
        <v>154</v>
      </c>
    </row>
    <row r="409" spans="2:11">
      <c r="B409" t="s">
        <v>214</v>
      </c>
      <c r="J409" t="str">
        <f>TRIM(+B409)</f>
        <v>Day 21 - Brush Mountain Lodge</v>
      </c>
      <c r="K409" t="s">
        <v>147</v>
      </c>
    </row>
    <row r="410" spans="2:11">
      <c r="B410" t="s">
        <v>156</v>
      </c>
    </row>
    <row r="411" spans="2:11">
      <c r="B411" t="s">
        <v>157</v>
      </c>
    </row>
    <row r="412" spans="2:11">
      <c r="B412" t="s">
        <v>215</v>
      </c>
      <c r="J412" t="str">
        <f>TRIM(+B412)</f>
        <v>My birthday in a slice of heaven</v>
      </c>
      <c r="K412" t="s">
        <v>148</v>
      </c>
    </row>
    <row r="413" spans="2:11">
      <c r="B413" t="s">
        <v>159</v>
      </c>
    </row>
    <row r="414" spans="2:11">
      <c r="B414" t="s">
        <v>160</v>
      </c>
    </row>
    <row r="415" spans="2:11">
      <c r="B415" t="s">
        <v>161</v>
      </c>
    </row>
    <row r="416" spans="2:11">
      <c r="B416" t="s">
        <v>216</v>
      </c>
      <c r="J416" t="str">
        <f>TRIM(+B416)</f>
        <v>Monday, June 29, 2015 - Wamsutter, WY to Brush Mtn Lodge, CO</v>
      </c>
      <c r="K416" t="s">
        <v>149</v>
      </c>
    </row>
    <row r="417" spans="2:11">
      <c r="B417" t="s">
        <v>163</v>
      </c>
    </row>
    <row r="418" spans="2:11">
      <c r="B418" t="s">
        <v>164</v>
      </c>
    </row>
    <row r="419" spans="2:11">
      <c r="B419" t="s">
        <v>217</v>
      </c>
      <c r="J419" t="str">
        <f>TRIM(+B419)</f>
        <v>7:06 AM 81.9mi 3,928ft of climbing</v>
      </c>
      <c r="K419" t="s">
        <v>150</v>
      </c>
    </row>
    <row r="420" spans="2:11">
      <c r="B420" t="s">
        <v>166</v>
      </c>
    </row>
    <row r="421" spans="2:11">
      <c r="B421" t="s">
        <v>213</v>
      </c>
      <c r="J421" t="str">
        <f>RIGHT(B421,LEN(B421)-FIND("&lt;a href=",B421)-7)</f>
        <v>"tourdivide21.html"&gt;</v>
      </c>
      <c r="K421" t="s">
        <v>146</v>
      </c>
    </row>
    <row r="422" spans="2:11">
      <c r="B422" t="s">
        <v>218</v>
      </c>
      <c r="J422" t="str">
        <f>RIGHT(B422,LEN(B422)-FIND("src=",B422)-4)</f>
        <v>../img/tourdivide/day21/day21pic10.JPG" alt="" width="100%"&gt;</v>
      </c>
      <c r="K422" t="s">
        <v>151</v>
      </c>
    </row>
    <row r="423" spans="2:11">
      <c r="B423" t="s">
        <v>160</v>
      </c>
    </row>
    <row r="424" spans="2:11">
      <c r="B424" t="s">
        <v>219</v>
      </c>
    </row>
    <row r="425" spans="2:11">
      <c r="B425" t="s">
        <v>169</v>
      </c>
    </row>
    <row r="426" spans="2:11">
      <c r="B426" t="s">
        <v>220</v>
      </c>
      <c r="J426" t="str">
        <f>RIGHT(B426,LEN(B426)-FIND("&lt;!--",B426)-3)</f>
        <v xml:space="preserve"> Day 22--&gt;</v>
      </c>
      <c r="K426" t="s">
        <v>145</v>
      </c>
    </row>
    <row r="427" spans="2:11">
      <c r="B427" t="s">
        <v>221</v>
      </c>
      <c r="J427" t="str">
        <f>RIGHT(B427,LEN(B427)-FIND("&lt;a href=",B427)-7)</f>
        <v>"tourdivide22.html"&gt;</v>
      </c>
      <c r="K427" t="s">
        <v>146</v>
      </c>
    </row>
    <row r="428" spans="2:11">
      <c r="B428" t="s">
        <v>154</v>
      </c>
    </row>
    <row r="429" spans="2:11">
      <c r="B429" t="s">
        <v>222</v>
      </c>
      <c r="J429" t="str">
        <f>TRIM(+B429)</f>
        <v>Day 22 - Colorado Mountains</v>
      </c>
      <c r="K429" t="s">
        <v>147</v>
      </c>
    </row>
    <row r="430" spans="2:11">
      <c r="B430" t="s">
        <v>156</v>
      </c>
    </row>
    <row r="431" spans="2:11">
      <c r="B431" t="s">
        <v>157</v>
      </c>
    </row>
    <row r="432" spans="2:11">
      <c r="B432" t="s">
        <v>223</v>
      </c>
      <c r="J432" t="str">
        <f>TRIM(+B432)</f>
        <v>Long steady climbs and descents</v>
      </c>
      <c r="K432" t="s">
        <v>148</v>
      </c>
    </row>
    <row r="433" spans="2:11">
      <c r="B433" t="s">
        <v>159</v>
      </c>
    </row>
    <row r="434" spans="2:11">
      <c r="B434" t="s">
        <v>160</v>
      </c>
    </row>
    <row r="435" spans="2:11">
      <c r="B435" t="s">
        <v>161</v>
      </c>
    </row>
    <row r="436" spans="2:11">
      <c r="B436" t="s">
        <v>224</v>
      </c>
      <c r="J436" t="str">
        <f>TRIM(+B436)</f>
        <v>Tuesday, June 30, 2015 Brush Mountain Lodge to Steamboat Springs, CO</v>
      </c>
      <c r="K436" t="s">
        <v>149</v>
      </c>
    </row>
    <row r="437" spans="2:11">
      <c r="B437" t="s">
        <v>163</v>
      </c>
    </row>
    <row r="438" spans="2:11">
      <c r="B438" t="s">
        <v>164</v>
      </c>
    </row>
    <row r="439" spans="2:11">
      <c r="B439" t="s">
        <v>225</v>
      </c>
      <c r="J439" t="str">
        <f>TRIM(+B439)</f>
        <v>07:55 AM, 50.5mi, 3,220ft of climbing</v>
      </c>
      <c r="K439" t="s">
        <v>150</v>
      </c>
    </row>
    <row r="440" spans="2:11">
      <c r="B440" t="s">
        <v>166</v>
      </c>
    </row>
    <row r="441" spans="2:11">
      <c r="B441" t="s">
        <v>221</v>
      </c>
      <c r="J441" t="str">
        <f>RIGHT(B441,LEN(B441)-FIND("&lt;a href=",B441)-7)</f>
        <v>"tourdivide22.html"&gt;</v>
      </c>
      <c r="K441" t="s">
        <v>146</v>
      </c>
    </row>
    <row r="442" spans="2:11">
      <c r="B442" t="s">
        <v>226</v>
      </c>
      <c r="J442" t="str">
        <f>RIGHT(B442,LEN(B442)-FIND("src=",B442)-4)</f>
        <v>../img/tourdivide/day22/day22pic00.JPG" alt="" width="100%"&gt;</v>
      </c>
      <c r="K442" t="s">
        <v>151</v>
      </c>
    </row>
    <row r="443" spans="2:11">
      <c r="B443" t="s">
        <v>160</v>
      </c>
    </row>
    <row r="444" spans="2:11">
      <c r="B444" t="s">
        <v>227</v>
      </c>
    </row>
    <row r="445" spans="2:11">
      <c r="B445" t="s">
        <v>169</v>
      </c>
    </row>
    <row r="446" spans="2:11">
      <c r="B446" t="s">
        <v>228</v>
      </c>
      <c r="J446" t="str">
        <f>RIGHT(B446,LEN(B446)-FIND("&lt;!--",B446)-3)</f>
        <v xml:space="preserve"> Day 23--&gt;</v>
      </c>
      <c r="K446" t="s">
        <v>145</v>
      </c>
    </row>
    <row r="447" spans="2:11">
      <c r="B447" t="s">
        <v>229</v>
      </c>
      <c r="J447" t="str">
        <f>RIGHT(B447,LEN(B447)-FIND("&lt;a href=",B447)-7)</f>
        <v>"tourdivide23.html"&gt;</v>
      </c>
      <c r="K447" t="s">
        <v>146</v>
      </c>
    </row>
    <row r="448" spans="2:11">
      <c r="B448" t="s">
        <v>154</v>
      </c>
    </row>
    <row r="449" spans="2:11">
      <c r="B449" t="s">
        <v>230</v>
      </c>
      <c r="J449" t="str">
        <f>TRIM(+B449)</f>
        <v>Day 23 - A long day out on the road</v>
      </c>
      <c r="K449" t="s">
        <v>147</v>
      </c>
    </row>
    <row r="450" spans="2:11">
      <c r="B450" t="s">
        <v>156</v>
      </c>
    </row>
    <row r="451" spans="2:11">
      <c r="B451" t="s">
        <v>157</v>
      </c>
    </row>
    <row r="452" spans="2:11">
      <c r="B452" t="s">
        <v>231</v>
      </c>
      <c r="J452" t="str">
        <f>TRIM(+B452)</f>
        <v>A giant coast into Kremmling and mind games</v>
      </c>
      <c r="K452" t="s">
        <v>148</v>
      </c>
    </row>
    <row r="453" spans="2:11">
      <c r="B453" t="s">
        <v>159</v>
      </c>
    </row>
    <row r="454" spans="2:11">
      <c r="B454" t="s">
        <v>160</v>
      </c>
    </row>
    <row r="455" spans="2:11">
      <c r="B455" t="s">
        <v>161</v>
      </c>
    </row>
    <row r="456" spans="2:11">
      <c r="B456" t="s">
        <v>232</v>
      </c>
      <c r="J456" t="str">
        <f>TRIM(+B456)</f>
        <v>Wednesday, July 1, 2015 Steamboat Springs to Dillon, CO</v>
      </c>
      <c r="K456" t="s">
        <v>149</v>
      </c>
    </row>
    <row r="457" spans="2:11">
      <c r="B457" t="s">
        <v>163</v>
      </c>
    </row>
    <row r="458" spans="2:11">
      <c r="B458" t="s">
        <v>164</v>
      </c>
    </row>
    <row r="459" spans="2:11">
      <c r="B459" t="s">
        <v>233</v>
      </c>
      <c r="J459" t="str">
        <f>TRIM(+B459)</f>
        <v>06:55 AM, 108.7mi, 6,441ft of climbing</v>
      </c>
      <c r="K459" t="s">
        <v>150</v>
      </c>
    </row>
    <row r="460" spans="2:11">
      <c r="B460" t="s">
        <v>166</v>
      </c>
    </row>
    <row r="461" spans="2:11">
      <c r="B461" t="s">
        <v>229</v>
      </c>
      <c r="J461" t="str">
        <f>RIGHT(B461,LEN(B461)-FIND("&lt;a href=",B461)-7)</f>
        <v>"tourdivide23.html"&gt;</v>
      </c>
      <c r="K461" t="s">
        <v>146</v>
      </c>
    </row>
    <row r="462" spans="2:11">
      <c r="B462" t="s">
        <v>234</v>
      </c>
      <c r="J462" t="str">
        <f>RIGHT(B462,LEN(B462)-FIND("src=",B462)-4)</f>
        <v>../img/tourdivide/day23/day23pic00.JPG" alt="" width="100%"&gt;</v>
      </c>
      <c r="K462" t="s">
        <v>151</v>
      </c>
    </row>
    <row r="463" spans="2:11">
      <c r="B463" t="s">
        <v>160</v>
      </c>
    </row>
    <row r="464" spans="2:11">
      <c r="B464" t="s">
        <v>235</v>
      </c>
    </row>
    <row r="465" spans="2:11">
      <c r="B465" t="s">
        <v>236</v>
      </c>
    </row>
    <row r="466" spans="2:11">
      <c r="B466" t="s">
        <v>236</v>
      </c>
      <c r="J466" t="str">
        <f>RIGHT(B466,LEN(B466)-FIND("&lt;!--",B466)-3)</f>
        <v xml:space="preserve"> Day 24--&gt;</v>
      </c>
      <c r="K466" t="s">
        <v>145</v>
      </c>
    </row>
    <row r="467" spans="2:11">
      <c r="B467" t="s">
        <v>237</v>
      </c>
      <c r="J467" t="str">
        <f>RIGHT(B467,LEN(B467)-FIND("&lt;a href=",B467)-7)</f>
        <v>"tourdivide24.html"&gt;</v>
      </c>
      <c r="K467" t="s">
        <v>146</v>
      </c>
    </row>
    <row r="468" spans="2:11">
      <c r="B468" t="s">
        <v>154</v>
      </c>
    </row>
    <row r="469" spans="2:11">
      <c r="B469" t="s">
        <v>238</v>
      </c>
      <c r="J469" t="str">
        <f>TRIM(+B469)</f>
        <v>Day 24 - Dillon Reservoir, Breckenridge and Boreas Pass</v>
      </c>
      <c r="K469" t="s">
        <v>147</v>
      </c>
    </row>
    <row r="470" spans="2:11">
      <c r="B470" t="s">
        <v>156</v>
      </c>
    </row>
    <row r="471" spans="2:11">
      <c r="B471" t="s">
        <v>157</v>
      </c>
    </row>
    <row r="472" spans="2:11">
      <c r="B472" t="s">
        <v>239</v>
      </c>
      <c r="J472" t="str">
        <f>TRIM(+B472)</f>
        <v>Highest pass on my tour</v>
      </c>
      <c r="K472" t="s">
        <v>148</v>
      </c>
    </row>
    <row r="473" spans="2:11">
      <c r="B473" t="s">
        <v>159</v>
      </c>
    </row>
    <row r="474" spans="2:11">
      <c r="B474" t="s">
        <v>160</v>
      </c>
    </row>
    <row r="475" spans="2:11">
      <c r="B475" t="s">
        <v>161</v>
      </c>
    </row>
    <row r="476" spans="2:11">
      <c r="B476" t="s">
        <v>240</v>
      </c>
      <c r="J476" t="str">
        <f>TRIM(+B476)</f>
        <v>Thursday, July 2, 2015 Dillon to Hartsel, CO&lt;/p&gt;</v>
      </c>
      <c r="K476" t="s">
        <v>149</v>
      </c>
    </row>
    <row r="477" spans="2:11">
      <c r="B477" t="s">
        <v>164</v>
      </c>
    </row>
    <row r="478" spans="2:11">
      <c r="B478" t="s">
        <v>241</v>
      </c>
      <c r="J478" t="str">
        <f>TRIM(+B478)</f>
        <v>7:00 AM 68.0mi 3,507ft of climbing</v>
      </c>
      <c r="K478" t="s">
        <v>150</v>
      </c>
    </row>
    <row r="479" spans="2:11">
      <c r="B479" t="s">
        <v>166</v>
      </c>
    </row>
    <row r="480" spans="2:11">
      <c r="B480" t="s">
        <v>237</v>
      </c>
      <c r="J480" t="str">
        <f>RIGHT(B480,LEN(B480)-FIND("&lt;a href=",B480)-7)</f>
        <v>"tourdivide24.html"&gt;</v>
      </c>
      <c r="K480" t="s">
        <v>146</v>
      </c>
    </row>
    <row r="481" spans="2:11">
      <c r="B481" t="s">
        <v>242</v>
      </c>
      <c r="J481" t="str">
        <f>RIGHT(B481,LEN(B481)-FIND("src=",B481)-4)</f>
        <v>../img/tourdivide/day24/day24pic0401.JPG" alt="" width="100%"&gt;</v>
      </c>
      <c r="K481" t="s">
        <v>151</v>
      </c>
    </row>
    <row r="482" spans="2:11">
      <c r="B482" t="s">
        <v>160</v>
      </c>
    </row>
    <row r="483" spans="2:11">
      <c r="B483" t="s">
        <v>243</v>
      </c>
    </row>
    <row r="484" spans="2:11">
      <c r="B484" s="1" t="s">
        <v>272</v>
      </c>
      <c r="J484" t="str">
        <f>RIGHT(B484,LEN(B484)-FIND("&lt;!--",B484)-3)</f>
        <v xml:space="preserve"> Day 25--&gt;</v>
      </c>
      <c r="K484" t="s">
        <v>145</v>
      </c>
    </row>
    <row r="485" spans="2:11">
      <c r="B485" s="2" t="s">
        <v>273</v>
      </c>
      <c r="J485" t="str">
        <f>RIGHT(B485,LEN(B485)-FIND("&lt;a href=",B485)-7)</f>
        <v>"tourdivide25.html"&gt;</v>
      </c>
      <c r="K485" t="s">
        <v>146</v>
      </c>
    </row>
    <row r="486" spans="2:11">
      <c r="B486" s="3" t="s">
        <v>128</v>
      </c>
    </row>
    <row r="487" spans="2:11">
      <c r="B487" s="3" t="s">
        <v>244</v>
      </c>
      <c r="J487" t="str">
        <f>TRIM(+B487)</f>
        <v>Day 25 - July weather</v>
      </c>
      <c r="K487" t="s">
        <v>147</v>
      </c>
    </row>
    <row r="488" spans="2:11">
      <c r="B488" s="3" t="s">
        <v>130</v>
      </c>
    </row>
    <row r="489" spans="2:11">
      <c r="B489" s="3" t="s">
        <v>131</v>
      </c>
    </row>
    <row r="490" spans="2:11">
      <c r="B490" s="3" t="s">
        <v>245</v>
      </c>
      <c r="J490" t="str">
        <f>TRIM(+B490)</f>
        <v>More afternoon rains and washboard roads</v>
      </c>
      <c r="K490" t="s">
        <v>148</v>
      </c>
    </row>
    <row r="491" spans="2:11">
      <c r="B491" s="3" t="s">
        <v>133</v>
      </c>
    </row>
    <row r="492" spans="2:11">
      <c r="B492" s="3" t="s">
        <v>134</v>
      </c>
    </row>
    <row r="493" spans="2:11">
      <c r="B493" s="3" t="s">
        <v>135</v>
      </c>
    </row>
    <row r="494" spans="2:11">
      <c r="B494" s="3" t="s">
        <v>246</v>
      </c>
      <c r="J494" t="str">
        <f>TRIM(+B494)</f>
        <v>Friday, July 3, 2015 Hartsel to Salida, CO</v>
      </c>
      <c r="K494" t="s">
        <v>149</v>
      </c>
    </row>
    <row r="495" spans="2:11">
      <c r="B495" s="3" t="s">
        <v>137</v>
      </c>
    </row>
    <row r="496" spans="2:11">
      <c r="B496" s="3" t="s">
        <v>274</v>
      </c>
    </row>
    <row r="497" spans="2:11">
      <c r="B497" s="3" t="s">
        <v>247</v>
      </c>
      <c r="J497" t="str">
        <f>TRIM(+B497)</f>
        <v>7:51 AM 48.4mi 2,300ft of climbing</v>
      </c>
      <c r="K497" t="s">
        <v>150</v>
      </c>
    </row>
    <row r="498" spans="2:11">
      <c r="B498" s="3" t="s">
        <v>275</v>
      </c>
    </row>
    <row r="499" spans="2:11">
      <c r="B499" s="3" t="s">
        <v>276</v>
      </c>
      <c r="J499" t="str">
        <f>RIGHT(B499,LEN(B499)-FIND("&lt;a href=",B499)-7)</f>
        <v>"tourdivide25.html"&gt;</v>
      </c>
      <c r="K499" t="s">
        <v>146</v>
      </c>
    </row>
    <row r="500" spans="2:11">
      <c r="B500" s="3" t="s">
        <v>277</v>
      </c>
      <c r="J500" t="str">
        <f>RIGHT(B500,LEN(B500)-FIND("src=",B500)-4)</f>
        <v>../img/tourdivide/day25/day25pic02.JPG" alt="" width="100%"&gt;</v>
      </c>
      <c r="K500" t="s">
        <v>151</v>
      </c>
    </row>
    <row r="501" spans="2:11">
      <c r="B501" s="3" t="s">
        <v>134</v>
      </c>
    </row>
    <row r="502" spans="2:11">
      <c r="B502" s="3" t="s">
        <v>278</v>
      </c>
    </row>
    <row r="503" spans="2:11">
      <c r="B503" t="s">
        <v>248</v>
      </c>
      <c r="J503" t="str">
        <f>RIGHT(B503,LEN(B503)-FIND("&lt;!--",B503)-3)</f>
        <v xml:space="preserve"> Day 26--&gt;</v>
      </c>
      <c r="K503" t="s">
        <v>145</v>
      </c>
    </row>
    <row r="504" spans="2:11">
      <c r="B504" t="s">
        <v>249</v>
      </c>
      <c r="J504" t="str">
        <f>RIGHT(B504,LEN(B504)-FIND("&lt;a href=",B504)-7)</f>
        <v>"tourdivide26.html"&gt;</v>
      </c>
      <c r="K504" t="s">
        <v>146</v>
      </c>
    </row>
    <row r="505" spans="2:11">
      <c r="B505" t="s">
        <v>154</v>
      </c>
    </row>
    <row r="506" spans="2:11">
      <c r="B506" t="s">
        <v>250</v>
      </c>
      <c r="J506" t="str">
        <f>TRIM(+B506)</f>
        <v>Day 26 - Marshall Pass and the Colorado Trail</v>
      </c>
      <c r="K506" t="s">
        <v>147</v>
      </c>
    </row>
    <row r="507" spans="2:11">
      <c r="B507" t="s">
        <v>156</v>
      </c>
    </row>
    <row r="508" spans="2:11">
      <c r="B508" t="s">
        <v>157</v>
      </c>
    </row>
    <row r="509" spans="2:11">
      <c r="B509" t="s">
        <v>251</v>
      </c>
      <c r="J509" t="str">
        <f>TRIM(+B509)</f>
        <v>Teepees, Rain and the 4th of July</v>
      </c>
      <c r="K509" t="s">
        <v>148</v>
      </c>
    </row>
    <row r="510" spans="2:11">
      <c r="B510" t="s">
        <v>159</v>
      </c>
    </row>
    <row r="511" spans="2:11">
      <c r="B511" t="s">
        <v>160</v>
      </c>
    </row>
    <row r="512" spans="2:11">
      <c r="B512" t="s">
        <v>161</v>
      </c>
    </row>
    <row r="513" spans="2:11">
      <c r="B513" t="s">
        <v>252</v>
      </c>
      <c r="J513" t="str">
        <f>TRIM(+B513)</f>
        <v>Saturday, July 4, 2015 Salida to Sargents, CO</v>
      </c>
      <c r="K513" t="s">
        <v>149</v>
      </c>
    </row>
    <row r="514" spans="2:11">
      <c r="B514" t="s">
        <v>163</v>
      </c>
    </row>
    <row r="515" spans="2:11">
      <c r="B515" t="s">
        <v>164</v>
      </c>
    </row>
    <row r="516" spans="2:11">
      <c r="B516" t="s">
        <v>253</v>
      </c>
      <c r="J516" t="str">
        <f>TRIM(+B516)</f>
        <v>07:30 AM, 46.4mi, 4,382ft of climbing</v>
      </c>
      <c r="K516" t="s">
        <v>150</v>
      </c>
    </row>
    <row r="517" spans="2:11">
      <c r="B517" t="s">
        <v>166</v>
      </c>
    </row>
    <row r="518" spans="2:11">
      <c r="B518" t="s">
        <v>249</v>
      </c>
      <c r="J518" t="str">
        <f>RIGHT(B518,LEN(B518)-FIND("&lt;a href=",B518)-7)</f>
        <v>"tourdivide26.html"&gt;</v>
      </c>
      <c r="K518" t="s">
        <v>146</v>
      </c>
    </row>
    <row r="519" spans="2:11">
      <c r="B519" t="s">
        <v>254</v>
      </c>
      <c r="J519" t="str">
        <f>RIGHT(B519,LEN(B519)-FIND("src=",B519)-4)</f>
        <v>../img/tourdivide/day26/day26pic00.JPG" alt="" width="100%"&gt;</v>
      </c>
      <c r="K519" t="s">
        <v>151</v>
      </c>
    </row>
    <row r="520" spans="2:11">
      <c r="B520" t="s">
        <v>160</v>
      </c>
    </row>
    <row r="521" spans="2:11">
      <c r="B521" t="s">
        <v>255</v>
      </c>
    </row>
    <row r="522" spans="2:11">
      <c r="B522" t="s">
        <v>256</v>
      </c>
      <c r="J522" t="str">
        <f>RIGHT(B522,LEN(B522)-FIND("&lt;!--",B522)-3)</f>
        <v xml:space="preserve"> Day 27--&gt;</v>
      </c>
      <c r="K522" t="s">
        <v>145</v>
      </c>
    </row>
    <row r="523" spans="2:11">
      <c r="B523" t="s">
        <v>257</v>
      </c>
      <c r="J523" t="str">
        <f>RIGHT(B523,LEN(B523)-FIND("&lt;a href=",B523)-7)</f>
        <v>"tourdivide27.html"&gt;</v>
      </c>
      <c r="K523" t="s">
        <v>146</v>
      </c>
    </row>
    <row r="524" spans="2:11">
      <c r="B524" t="s">
        <v>154</v>
      </c>
    </row>
    <row r="525" spans="2:11">
      <c r="B525" t="s">
        <v>258</v>
      </c>
      <c r="J525" t="str">
        <f>TRIM(+B525)</f>
        <v>Day 27 - Lighting and Thunder in the afternoon</v>
      </c>
      <c r="K525" t="s">
        <v>147</v>
      </c>
    </row>
    <row r="526" spans="2:11">
      <c r="B526" t="s">
        <v>156</v>
      </c>
    </row>
    <row r="527" spans="2:11">
      <c r="B527" t="s">
        <v>157</v>
      </c>
    </row>
    <row r="528" spans="2:11">
      <c r="B528" t="s">
        <v>259</v>
      </c>
      <c r="J528" t="str">
        <f>TRIM(+B528)</f>
        <v>Two passes and outrunning the rain</v>
      </c>
      <c r="K528" t="s">
        <v>148</v>
      </c>
    </row>
    <row r="529" spans="2:11">
      <c r="B529" t="s">
        <v>159</v>
      </c>
    </row>
    <row r="530" spans="2:11">
      <c r="B530" t="s">
        <v>160</v>
      </c>
    </row>
    <row r="531" spans="2:11">
      <c r="B531" t="s">
        <v>161</v>
      </c>
    </row>
    <row r="532" spans="2:11">
      <c r="B532" t="s">
        <v>260</v>
      </c>
      <c r="J532" t="str">
        <f>TRIM(+B532)</f>
        <v>Sunday, July 5, 2015 Sargents to Del Norte, CO</v>
      </c>
      <c r="K532" t="s">
        <v>149</v>
      </c>
    </row>
    <row r="533" spans="2:11">
      <c r="B533" t="s">
        <v>163</v>
      </c>
    </row>
    <row r="534" spans="2:11">
      <c r="B534" t="s">
        <v>164</v>
      </c>
    </row>
    <row r="535" spans="2:11">
      <c r="B535" t="s">
        <v>261</v>
      </c>
      <c r="J535" t="str">
        <f>TRIM(+B535)</f>
        <v>07:49 AM, 101.0mi, 5,182ft of climbing</v>
      </c>
      <c r="K535" t="s">
        <v>150</v>
      </c>
    </row>
    <row r="536" spans="2:11">
      <c r="B536" t="s">
        <v>166</v>
      </c>
    </row>
    <row r="537" spans="2:11">
      <c r="B537" t="s">
        <v>257</v>
      </c>
      <c r="J537" t="str">
        <f>RIGHT(B537,LEN(B537)-FIND("&lt;a href=",B537)-7)</f>
        <v>"tourdivide27.html"&gt;</v>
      </c>
      <c r="K537" t="s">
        <v>146</v>
      </c>
    </row>
    <row r="538" spans="2:11">
      <c r="B538" t="s">
        <v>262</v>
      </c>
      <c r="J538" t="str">
        <f>RIGHT(B538,LEN(B538)-FIND("src=",B538)-4)</f>
        <v>../img/tourdivide/day27/day27pic02.JPG" alt="" width="100%"&gt;</v>
      </c>
      <c r="K538" t="s">
        <v>151</v>
      </c>
    </row>
    <row r="539" spans="2:11">
      <c r="B539" t="s">
        <v>160</v>
      </c>
    </row>
    <row r="540" spans="2:11">
      <c r="B540" t="s">
        <v>263</v>
      </c>
    </row>
    <row r="541" spans="2:11">
      <c r="B541" t="s">
        <v>264</v>
      </c>
      <c r="J541" t="str">
        <f>RIGHT(B541,LEN(B541)-FIND("&lt;!--",B541)-3)</f>
        <v xml:space="preserve"> Day 28--&gt;</v>
      </c>
      <c r="K541" t="s">
        <v>145</v>
      </c>
    </row>
    <row r="542" spans="2:11">
      <c r="B542" t="s">
        <v>265</v>
      </c>
      <c r="J542" t="str">
        <f>RIGHT(B542,LEN(B542)-FIND("&lt;a href=",B542)-7)</f>
        <v>"tourdivide28.html"&gt;</v>
      </c>
      <c r="K542" t="s">
        <v>146</v>
      </c>
    </row>
    <row r="543" spans="2:11">
      <c r="B543" t="s">
        <v>154</v>
      </c>
    </row>
    <row r="544" spans="2:11">
      <c r="B544" t="s">
        <v>266</v>
      </c>
      <c r="J544" t="str">
        <f>TRIM(+B544)</f>
        <v>Day 28 - Getting some rest and plotting my course</v>
      </c>
      <c r="K544" t="s">
        <v>147</v>
      </c>
    </row>
    <row r="545" spans="2:11">
      <c r="B545" t="s">
        <v>156</v>
      </c>
    </row>
    <row r="546" spans="2:11">
      <c r="B546" t="s">
        <v>157</v>
      </c>
    </row>
    <row r="547" spans="2:11">
      <c r="B547" t="s">
        <v>267</v>
      </c>
      <c r="J547" t="str">
        <f>TRIM(+B547)</f>
        <v>The Library, Amish Cinnamon Rolls and Wild Boar</v>
      </c>
      <c r="K547" t="s">
        <v>148</v>
      </c>
    </row>
    <row r="548" spans="2:11">
      <c r="B548" t="s">
        <v>159</v>
      </c>
    </row>
    <row r="549" spans="2:11">
      <c r="B549" t="s">
        <v>160</v>
      </c>
    </row>
    <row r="550" spans="2:11">
      <c r="B550" t="s">
        <v>161</v>
      </c>
    </row>
    <row r="551" spans="2:11">
      <c r="B551" t="s">
        <v>268</v>
      </c>
      <c r="J551" t="str">
        <f>TRIM(+B551)</f>
        <v>Monday, July 6, 2015 Del Norte</v>
      </c>
      <c r="K551" t="s">
        <v>149</v>
      </c>
    </row>
    <row r="552" spans="2:11">
      <c r="B552" t="s">
        <v>163</v>
      </c>
    </row>
    <row r="553" spans="2:11">
      <c r="B553" t="s">
        <v>164</v>
      </c>
    </row>
    <row r="554" spans="2:11">
      <c r="B554" t="s">
        <v>269</v>
      </c>
      <c r="J554" t="str">
        <f>TRIM(+B554)</f>
        <v>Sleeping in at the Windsor Hotel - zero ft of climbing</v>
      </c>
      <c r="K554" t="s">
        <v>150</v>
      </c>
    </row>
    <row r="555" spans="2:11">
      <c r="B555" t="s">
        <v>166</v>
      </c>
    </row>
    <row r="556" spans="2:11">
      <c r="B556" t="s">
        <v>265</v>
      </c>
      <c r="J556" t="str">
        <f>RIGHT(B556,LEN(B556)-FIND("&lt;a href=",B556)-7)</f>
        <v>"tourdivide28.html"&gt;</v>
      </c>
      <c r="K556" t="s">
        <v>146</v>
      </c>
    </row>
    <row r="557" spans="2:11">
      <c r="B557" t="s">
        <v>270</v>
      </c>
      <c r="J557" t="str">
        <f>RIGHT(B557,LEN(B557)-FIND("src=",B557)-4)</f>
        <v>../img/tourdivide/day28/day28pic00.JPG" alt="" width="100%"&gt;</v>
      </c>
      <c r="K557" t="s">
        <v>151</v>
      </c>
    </row>
    <row r="558" spans="2:11">
      <c r="B558" t="s">
        <v>160</v>
      </c>
    </row>
    <row r="559" spans="2:11">
      <c r="B559" t="s">
        <v>271</v>
      </c>
    </row>
    <row r="560" spans="2:11">
      <c r="B560" s="1" t="s">
        <v>279</v>
      </c>
      <c r="J560" t="str">
        <f>RIGHT(B560,LEN(B560)-FIND("&lt;!--",B560)-3)</f>
        <v xml:space="preserve"> Day 29--&gt;</v>
      </c>
      <c r="K560" t="s">
        <v>145</v>
      </c>
    </row>
    <row r="561" spans="2:11">
      <c r="B561" s="2" t="s">
        <v>280</v>
      </c>
      <c r="J561" t="str">
        <f>RIGHT(B561,LEN(B561)-FIND("&lt;a href=",B561)-7)</f>
        <v>"tourdivide29.html"&gt;</v>
      </c>
      <c r="K561" t="s">
        <v>146</v>
      </c>
    </row>
    <row r="562" spans="2:11">
      <c r="B562" s="3" t="s">
        <v>128</v>
      </c>
    </row>
    <row r="563" spans="2:11">
      <c r="B563" s="3" t="s">
        <v>281</v>
      </c>
      <c r="J563" t="str">
        <f>TRIM(+B563)</f>
        <v>Day 29 - A tough call to avoid thunderstorms</v>
      </c>
      <c r="K563" t="s">
        <v>147</v>
      </c>
    </row>
    <row r="564" spans="2:11">
      <c r="B564" s="3" t="s">
        <v>130</v>
      </c>
    </row>
    <row r="565" spans="2:11">
      <c r="B565" s="3" t="s">
        <v>131</v>
      </c>
    </row>
    <row r="566" spans="2:11">
      <c r="B566" s="3" t="s">
        <v>282</v>
      </c>
      <c r="J566" t="str">
        <f>TRIM(+B566)</f>
        <v>Riding in the rain</v>
      </c>
      <c r="K566" t="s">
        <v>148</v>
      </c>
    </row>
    <row r="567" spans="2:11">
      <c r="B567" s="3" t="s">
        <v>133</v>
      </c>
    </row>
    <row r="568" spans="2:11">
      <c r="B568" s="3" t="s">
        <v>134</v>
      </c>
    </row>
    <row r="569" spans="2:11">
      <c r="B569" s="3" t="s">
        <v>135</v>
      </c>
    </row>
    <row r="570" spans="2:11">
      <c r="B570" s="3" t="s">
        <v>283</v>
      </c>
      <c r="J570" t="str">
        <f>TRIM(+B570)</f>
        <v>Tuesday, July 7, 2015 DelNorte to Antonito, CO</v>
      </c>
      <c r="K570" t="s">
        <v>149</v>
      </c>
    </row>
    <row r="571" spans="2:11">
      <c r="B571" s="3" t="s">
        <v>137</v>
      </c>
    </row>
    <row r="572" spans="2:11">
      <c r="B572" s="3" t="s">
        <v>274</v>
      </c>
    </row>
    <row r="573" spans="2:11">
      <c r="B573" s="3" t="s">
        <v>284</v>
      </c>
      <c r="J573" t="str">
        <f>TRIM(+B573)</f>
        <v>7:03am, 67.4 miles, 1,887ft of climbing</v>
      </c>
      <c r="K573" t="s">
        <v>150</v>
      </c>
    </row>
    <row r="574" spans="2:11">
      <c r="B574" s="3" t="s">
        <v>275</v>
      </c>
    </row>
    <row r="575" spans="2:11">
      <c r="B575" s="3" t="s">
        <v>285</v>
      </c>
      <c r="J575" t="str">
        <f>RIGHT(B575,LEN(B575)-FIND("&lt;a href=",B575)-7)</f>
        <v>"tourdivide29.html"&gt;</v>
      </c>
      <c r="K575" t="s">
        <v>146</v>
      </c>
    </row>
    <row r="576" spans="2:11">
      <c r="B576" s="3" t="s">
        <v>286</v>
      </c>
      <c r="J576" t="str">
        <f>RIGHT(B576,LEN(B576)-FIND("src=",B576)-4)</f>
        <v>../img/tourdivide/day29/day29pic11.JPG" alt="" width="100%"&gt;</v>
      </c>
      <c r="K576" t="s">
        <v>151</v>
      </c>
    </row>
    <row r="577" spans="2:11">
      <c r="B577" s="3" t="s">
        <v>134</v>
      </c>
    </row>
    <row r="578" spans="2:11">
      <c r="B578" s="3" t="s">
        <v>287</v>
      </c>
    </row>
    <row r="579" spans="2:11">
      <c r="B579" s="3" t="s">
        <v>144</v>
      </c>
    </row>
    <row r="580" spans="2:11">
      <c r="B580" s="3" t="s">
        <v>288</v>
      </c>
      <c r="J580" t="str">
        <f>RIGHT(B580,LEN(B580)-FIND("&lt;!--",B580)-3)</f>
        <v xml:space="preserve"> Day 30--&gt;</v>
      </c>
      <c r="K580" t="s">
        <v>145</v>
      </c>
    </row>
    <row r="581" spans="2:11">
      <c r="B581" s="2" t="s">
        <v>289</v>
      </c>
      <c r="J581" t="str">
        <f>RIGHT(B581,LEN(B581)-FIND("&lt;a href=",B581)-7)</f>
        <v>"tourdivide30.html"&gt;</v>
      </c>
      <c r="K581" t="s">
        <v>146</v>
      </c>
    </row>
    <row r="582" spans="2:11">
      <c r="B582" s="3" t="s">
        <v>128</v>
      </c>
    </row>
    <row r="583" spans="2:11">
      <c r="B583" s="3" t="s">
        <v>290</v>
      </c>
      <c r="J583" t="str">
        <f>TRIM(+B583)</f>
        <v>Day 30 - Entering the final state</v>
      </c>
      <c r="K583" t="s">
        <v>147</v>
      </c>
    </row>
    <row r="584" spans="2:11">
      <c r="B584" s="3" t="s">
        <v>130</v>
      </c>
    </row>
    <row r="585" spans="2:11">
      <c r="B585" s="3" t="s">
        <v>131</v>
      </c>
    </row>
    <row r="586" spans="2:11">
      <c r="B586" s="3" t="s">
        <v>291</v>
      </c>
      <c r="J586" t="str">
        <f>TRIM(+B586)</f>
        <v>Dum spelled backward</v>
      </c>
      <c r="K586" t="s">
        <v>148</v>
      </c>
    </row>
    <row r="587" spans="2:11">
      <c r="B587" s="3" t="s">
        <v>133</v>
      </c>
    </row>
    <row r="588" spans="2:11">
      <c r="B588" s="3" t="s">
        <v>134</v>
      </c>
    </row>
    <row r="589" spans="2:11">
      <c r="B589" s="3" t="s">
        <v>135</v>
      </c>
    </row>
    <row r="590" spans="2:11">
      <c r="B590" s="3" t="s">
        <v>292</v>
      </c>
      <c r="J590" t="str">
        <f>TRIM(+B590)</f>
        <v>Wednesday, July 8, 2015 Antonito, CO to Abiquiu, NM</v>
      </c>
      <c r="K590" t="s">
        <v>149</v>
      </c>
    </row>
    <row r="591" spans="2:11">
      <c r="B591" s="3" t="s">
        <v>137</v>
      </c>
    </row>
    <row r="592" spans="2:11">
      <c r="B592" s="3" t="s">
        <v>274</v>
      </c>
    </row>
    <row r="593" spans="2:11">
      <c r="B593" s="3" t="s">
        <v>293</v>
      </c>
      <c r="J593" t="str">
        <f>TRIM(+B593)</f>
        <v>06:58 AM, 87.1mi, 1,887ft</v>
      </c>
      <c r="K593" t="s">
        <v>150</v>
      </c>
    </row>
    <row r="594" spans="2:11">
      <c r="B594" s="3" t="s">
        <v>275</v>
      </c>
    </row>
    <row r="595" spans="2:11">
      <c r="B595" s="3" t="s">
        <v>294</v>
      </c>
      <c r="J595" t="str">
        <f>RIGHT(B595,LEN(B595)-FIND("&lt;a href=",B595)-7)</f>
        <v>"tourdivide30.html"&gt;</v>
      </c>
      <c r="K595" t="s">
        <v>146</v>
      </c>
    </row>
    <row r="596" spans="2:11">
      <c r="B596" s="3" t="s">
        <v>295</v>
      </c>
      <c r="J596" t="str">
        <f>RIGHT(B596,LEN(B596)-FIND("src=",B596)-4)</f>
        <v>../img/tourdivide/day30/day30pic12.JPG" alt="" width="100%"&gt;</v>
      </c>
      <c r="K596" t="s">
        <v>151</v>
      </c>
    </row>
    <row r="597" spans="2:11">
      <c r="B597" s="3" t="s">
        <v>134</v>
      </c>
    </row>
    <row r="598" spans="2:11">
      <c r="B598" s="3" t="s">
        <v>296</v>
      </c>
    </row>
    <row r="599" spans="2:11">
      <c r="B599" s="3" t="s">
        <v>144</v>
      </c>
    </row>
    <row r="600" spans="2:11">
      <c r="B600" s="3" t="s">
        <v>297</v>
      </c>
      <c r="J600" t="str">
        <f>RIGHT(B600,LEN(B600)-FIND("&lt;!--",B600)-3)</f>
        <v xml:space="preserve"> Day 31--&gt;</v>
      </c>
      <c r="K600" t="s">
        <v>145</v>
      </c>
    </row>
    <row r="601" spans="2:11">
      <c r="B601" s="2" t="s">
        <v>298</v>
      </c>
      <c r="J601" t="str">
        <f>RIGHT(B601,LEN(B601)-FIND("&lt;a href=",B601)-7)</f>
        <v>"tourdivide31.html"&gt;</v>
      </c>
      <c r="K601" t="s">
        <v>146</v>
      </c>
    </row>
    <row r="602" spans="2:11">
      <c r="B602" s="3" t="s">
        <v>128</v>
      </c>
    </row>
    <row r="603" spans="2:11">
      <c r="B603" s="3" t="s">
        <v>299</v>
      </c>
      <c r="J603" t="str">
        <f>TRIM(+B603)</f>
        <v>Day 31 - Abiquiu Reservoir and more desert</v>
      </c>
      <c r="K603" t="s">
        <v>147</v>
      </c>
    </row>
    <row r="604" spans="2:11">
      <c r="B604" s="3" t="s">
        <v>130</v>
      </c>
    </row>
    <row r="605" spans="2:11">
      <c r="B605" s="3" t="s">
        <v>131</v>
      </c>
    </row>
    <row r="606" spans="2:11">
      <c r="B606" s="3" t="s">
        <v>300</v>
      </c>
      <c r="J606" t="str">
        <f>TRIM(+B606)</f>
        <v>On the Road. Avoiding the mud.</v>
      </c>
      <c r="K606" t="s">
        <v>148</v>
      </c>
    </row>
    <row r="607" spans="2:11">
      <c r="B607" s="3" t="s">
        <v>133</v>
      </c>
    </row>
    <row r="608" spans="2:11">
      <c r="B608" s="3" t="s">
        <v>134</v>
      </c>
    </row>
    <row r="609" spans="2:11">
      <c r="B609" s="3" t="s">
        <v>135</v>
      </c>
    </row>
    <row r="610" spans="2:11">
      <c r="B610" s="3" t="s">
        <v>301</v>
      </c>
      <c r="J610" t="str">
        <f>TRIM(+B610)</f>
        <v>Thursday, July 9, 2015 Abiquiu to Cuba</v>
      </c>
      <c r="K610" t="s">
        <v>149</v>
      </c>
    </row>
    <row r="611" spans="2:11">
      <c r="B611" s="3" t="s">
        <v>137</v>
      </c>
    </row>
    <row r="612" spans="2:11">
      <c r="B612" s="3" t="s">
        <v>274</v>
      </c>
    </row>
    <row r="613" spans="2:11">
      <c r="B613" s="3" t="s">
        <v>302</v>
      </c>
      <c r="J613" t="str">
        <f>TRIM(+B613)</f>
        <v>06:50 AM, 61.4mi, 3,804ft</v>
      </c>
      <c r="K613" t="s">
        <v>150</v>
      </c>
    </row>
    <row r="614" spans="2:11">
      <c r="B614" s="3" t="s">
        <v>275</v>
      </c>
    </row>
    <row r="615" spans="2:11">
      <c r="B615" s="3" t="s">
        <v>303</v>
      </c>
      <c r="J615" t="str">
        <f>RIGHT(B615,LEN(B615)-FIND("&lt;a href=",B615)-7)</f>
        <v>"tourdivide31.html"&gt;</v>
      </c>
      <c r="K615" t="s">
        <v>146</v>
      </c>
    </row>
    <row r="616" spans="2:11">
      <c r="B616" s="3" t="s">
        <v>304</v>
      </c>
      <c r="J616" t="str">
        <f>RIGHT(B616,LEN(B616)-FIND("src=",B616)-4)</f>
        <v>../img/tourdivide/day31/day31pic06.JPG" alt="" width="100%"&gt;</v>
      </c>
      <c r="K616" t="s">
        <v>151</v>
      </c>
    </row>
    <row r="617" spans="2:11">
      <c r="B617" s="3" t="s">
        <v>134</v>
      </c>
    </row>
    <row r="618" spans="2:11">
      <c r="B618" s="3" t="s">
        <v>305</v>
      </c>
    </row>
    <row r="619" spans="2:11">
      <c r="B619" s="3" t="s">
        <v>144</v>
      </c>
    </row>
    <row r="620" spans="2:11">
      <c r="B620" s="3" t="s">
        <v>306</v>
      </c>
      <c r="J620" t="str">
        <f>RIGHT(B620,LEN(B620)-FIND("&lt;!--",B620)-3)</f>
        <v xml:space="preserve"> Day 32--&gt;</v>
      </c>
      <c r="K620" t="s">
        <v>145</v>
      </c>
    </row>
    <row r="621" spans="2:11">
      <c r="B621" s="2" t="s">
        <v>307</v>
      </c>
      <c r="J621" t="str">
        <f>RIGHT(B621,LEN(B621)-FIND("&lt;a href=",B621)-7)</f>
        <v>"tourdivide32.html"&gt;</v>
      </c>
      <c r="K621" t="s">
        <v>146</v>
      </c>
    </row>
    <row r="622" spans="2:11">
      <c r="B622" s="3" t="s">
        <v>128</v>
      </c>
    </row>
    <row r="623" spans="2:11">
      <c r="B623" s="3" t="s">
        <v>308</v>
      </c>
      <c r="J623" t="str">
        <f>TRIM(+B623)</f>
        <v>Day 32 - Long day with an assist</v>
      </c>
      <c r="K623" t="s">
        <v>147</v>
      </c>
    </row>
    <row r="624" spans="2:11">
      <c r="B624" s="3" t="s">
        <v>130</v>
      </c>
    </row>
    <row r="625" spans="2:11">
      <c r="B625" s="3" t="s">
        <v>131</v>
      </c>
    </row>
    <row r="626" spans="2:11">
      <c r="B626" s="3" t="s">
        <v>309</v>
      </c>
      <c r="J626" t="str">
        <f>TRIM(+B626)</f>
        <v>Rain, wind and desert</v>
      </c>
      <c r="K626" t="s">
        <v>148</v>
      </c>
    </row>
    <row r="627" spans="2:11">
      <c r="B627" s="3" t="s">
        <v>133</v>
      </c>
    </row>
    <row r="628" spans="2:11">
      <c r="B628" s="3" t="s">
        <v>134</v>
      </c>
    </row>
    <row r="629" spans="2:11">
      <c r="B629" s="3" t="s">
        <v>135</v>
      </c>
    </row>
    <row r="630" spans="2:11">
      <c r="B630" s="3" t="s">
        <v>310</v>
      </c>
      <c r="J630" t="str">
        <f>TRIM(+B630)</f>
        <v>Friday, July 10, 2015 Cuba to Grants, NM</v>
      </c>
      <c r="K630" t="s">
        <v>149</v>
      </c>
    </row>
    <row r="631" spans="2:11">
      <c r="B631" s="3" t="s">
        <v>137</v>
      </c>
    </row>
    <row r="632" spans="2:11">
      <c r="B632" s="3" t="s">
        <v>274</v>
      </c>
    </row>
    <row r="633" spans="2:11">
      <c r="B633" s="3" t="s">
        <v>311</v>
      </c>
      <c r="J633" t="str">
        <f>TRIM(+B633)</f>
        <v>05:53 AM, 121.8mi, 3,670ft</v>
      </c>
      <c r="K633" t="s">
        <v>150</v>
      </c>
    </row>
    <row r="634" spans="2:11">
      <c r="B634" s="3" t="s">
        <v>275</v>
      </c>
    </row>
    <row r="635" spans="2:11">
      <c r="B635" s="3" t="s">
        <v>312</v>
      </c>
      <c r="J635" t="str">
        <f>RIGHT(B635,LEN(B635)-FIND("&lt;a href=",B635)-7)</f>
        <v>"tourdivide32.html#"&gt;</v>
      </c>
      <c r="K635" t="s">
        <v>146</v>
      </c>
    </row>
    <row r="636" spans="2:11">
      <c r="B636" s="3" t="s">
        <v>313</v>
      </c>
      <c r="J636" t="str">
        <f>RIGHT(B636,LEN(B636)-FIND("src=",B636)-4)</f>
        <v>../img/tourdivide/day32/day32pic02.JPG" alt="" width="100%"&gt;</v>
      </c>
      <c r="K636" t="s">
        <v>151</v>
      </c>
    </row>
    <row r="637" spans="2:11">
      <c r="B637" s="3" t="s">
        <v>134</v>
      </c>
    </row>
    <row r="638" spans="2:11">
      <c r="B638" s="3" t="s">
        <v>314</v>
      </c>
    </row>
    <row r="639" spans="2:11">
      <c r="B639" s="3" t="s">
        <v>144</v>
      </c>
    </row>
    <row r="640" spans="2:11">
      <c r="B640" s="3" t="s">
        <v>315</v>
      </c>
      <c r="J640" t="str">
        <f>RIGHT(B640,LEN(B640)-FIND("&lt;!--",B640)-3)</f>
        <v xml:space="preserve"> Day 33--&gt;</v>
      </c>
      <c r="K640" t="s">
        <v>145</v>
      </c>
    </row>
    <row r="641" spans="2:11">
      <c r="B641" s="2" t="s">
        <v>316</v>
      </c>
      <c r="J641" t="str">
        <f>RIGHT(B641,LEN(B641)-FIND("&lt;a href=",B641)-7)</f>
        <v>"tourdivide33.html"&gt;</v>
      </c>
      <c r="K641" t="s">
        <v>146</v>
      </c>
    </row>
    <row r="642" spans="2:11">
      <c r="B642" s="3" t="s">
        <v>128</v>
      </c>
    </row>
    <row r="643" spans="2:11">
      <c r="B643" s="3" t="s">
        <v>317</v>
      </c>
      <c r="J643" t="str">
        <f>TRIM(+B643)</f>
        <v>Day 33 - El Malpais National Monument</v>
      </c>
      <c r="K643" t="s">
        <v>147</v>
      </c>
    </row>
    <row r="644" spans="2:11">
      <c r="B644" s="3" t="s">
        <v>130</v>
      </c>
    </row>
    <row r="645" spans="2:11">
      <c r="B645" s="3" t="s">
        <v>131</v>
      </c>
    </row>
    <row r="646" spans="2:11">
      <c r="B646" s="3" t="s">
        <v>318</v>
      </c>
      <c r="J646" t="str">
        <f>TRIM(+B646)</f>
        <v>Morning riding and snakes on the bed</v>
      </c>
      <c r="K646" t="s">
        <v>148</v>
      </c>
    </row>
    <row r="647" spans="2:11">
      <c r="B647" s="3" t="s">
        <v>133</v>
      </c>
    </row>
    <row r="648" spans="2:11">
      <c r="B648" s="3" t="s">
        <v>134</v>
      </c>
    </row>
    <row r="649" spans="2:11">
      <c r="B649" s="3" t="s">
        <v>135</v>
      </c>
    </row>
    <row r="650" spans="2:11">
      <c r="B650" s="3" t="s">
        <v>319</v>
      </c>
      <c r="J650" t="str">
        <f>TRIM(+B650)</f>
        <v>Saturday, July 11, 2015 Grants to Quemado, NM</v>
      </c>
      <c r="K650" t="s">
        <v>149</v>
      </c>
    </row>
    <row r="651" spans="2:11">
      <c r="B651" s="3" t="s">
        <v>137</v>
      </c>
    </row>
    <row r="652" spans="2:11">
      <c r="B652" s="3" t="s">
        <v>274</v>
      </c>
    </row>
    <row r="653" spans="2:11">
      <c r="B653" s="3" t="s">
        <v>320</v>
      </c>
      <c r="J653" t="str">
        <f>TRIM(+B653)</f>
        <v>06:06 AM, 85.6mi, 2,083ft</v>
      </c>
      <c r="K653" t="s">
        <v>150</v>
      </c>
    </row>
    <row r="654" spans="2:11">
      <c r="B654" s="3" t="s">
        <v>275</v>
      </c>
    </row>
    <row r="655" spans="2:11">
      <c r="B655" s="3" t="s">
        <v>321</v>
      </c>
      <c r="J655" t="str">
        <f>RIGHT(B655,LEN(B655)-FIND("&lt;a href=",B655)-7)</f>
        <v>"tourdivide33.html"&gt;</v>
      </c>
      <c r="K655" t="s">
        <v>146</v>
      </c>
    </row>
    <row r="656" spans="2:11">
      <c r="B656" s="3" t="s">
        <v>322</v>
      </c>
      <c r="J656" t="str">
        <f>RIGHT(B656,LEN(B656)-FIND("src=",B656)-4)</f>
        <v>../img/tourdivide/day33/day33pic00.jpg" alt="" width="100%"&gt;</v>
      </c>
      <c r="K656" t="s">
        <v>151</v>
      </c>
    </row>
    <row r="657" spans="2:11">
      <c r="B657" s="3" t="s">
        <v>134</v>
      </c>
    </row>
    <row r="658" spans="2:11">
      <c r="B658" s="3" t="s">
        <v>323</v>
      </c>
    </row>
    <row r="659" spans="2:11">
      <c r="B659" s="3" t="s">
        <v>144</v>
      </c>
    </row>
    <row r="660" spans="2:11">
      <c r="B660" s="3" t="s">
        <v>324</v>
      </c>
      <c r="J660" t="str">
        <f>RIGHT(B660,LEN(B660)-FIND("&lt;!--",B660)-3)</f>
        <v xml:space="preserve"> Day 34--&gt;</v>
      </c>
      <c r="K660" t="s">
        <v>145</v>
      </c>
    </row>
    <row r="661" spans="2:11">
      <c r="B661" s="2" t="s">
        <v>325</v>
      </c>
      <c r="J661" t="str">
        <f>RIGHT(B661,LEN(B661)-FIND("&lt;a href=",B661)-7)</f>
        <v>"tourdivide34.html"&gt;</v>
      </c>
      <c r="K661" t="s">
        <v>146</v>
      </c>
    </row>
    <row r="662" spans="2:11">
      <c r="B662" s="3" t="s">
        <v>128</v>
      </c>
    </row>
    <row r="663" spans="2:11">
      <c r="B663" s="3" t="s">
        <v>326</v>
      </c>
      <c r="J663" t="str">
        <f>TRIM(+B663)</f>
        <v>Day 34 - The Afternoon Wind Switch</v>
      </c>
      <c r="K663" t="s">
        <v>147</v>
      </c>
    </row>
    <row r="664" spans="2:11">
      <c r="B664" s="3" t="s">
        <v>130</v>
      </c>
    </row>
    <row r="665" spans="2:11">
      <c r="B665" s="3" t="s">
        <v>131</v>
      </c>
    </row>
    <row r="666" spans="2:11">
      <c r="B666" s="3" t="s">
        <v>327</v>
      </c>
      <c r="J666" t="str">
        <f>TRIM(+B666)</f>
        <v>Apache Creek, Reserve and an extra 30 miles</v>
      </c>
      <c r="K666" t="s">
        <v>148</v>
      </c>
    </row>
    <row r="667" spans="2:11">
      <c r="B667" s="3" t="s">
        <v>133</v>
      </c>
    </row>
    <row r="668" spans="2:11">
      <c r="B668" s="3" t="s">
        <v>134</v>
      </c>
    </row>
    <row r="669" spans="2:11">
      <c r="B669" s="3" t="s">
        <v>135</v>
      </c>
    </row>
    <row r="670" spans="2:11">
      <c r="B670" s="3" t="s">
        <v>328</v>
      </c>
      <c r="J670" t="str">
        <f>TRIM(+B670)</f>
        <v>Sunday, July 12, 2015 Quemado to Glenwood, NM</v>
      </c>
      <c r="K670" t="s">
        <v>149</v>
      </c>
    </row>
    <row r="671" spans="2:11">
      <c r="B671" s="3" t="s">
        <v>137</v>
      </c>
    </row>
    <row r="672" spans="2:11">
      <c r="B672" s="3" t="s">
        <v>274</v>
      </c>
    </row>
    <row r="673" spans="2:11">
      <c r="B673" s="3" t="s">
        <v>329</v>
      </c>
      <c r="J673" t="str">
        <f>TRIM(+B673)</f>
        <v>05:42 AM, 90.3mi, 3,360ft</v>
      </c>
      <c r="K673" t="s">
        <v>150</v>
      </c>
    </row>
    <row r="674" spans="2:11">
      <c r="B674" s="3" t="s">
        <v>275</v>
      </c>
    </row>
    <row r="675" spans="2:11">
      <c r="B675" s="3" t="s">
        <v>330</v>
      </c>
      <c r="J675" t="str">
        <f>RIGHT(B675,LEN(B675)-FIND("&lt;a href=",B675)-7)</f>
        <v>"tourdivide34.html#"&gt;</v>
      </c>
      <c r="K675" t="s">
        <v>146</v>
      </c>
    </row>
    <row r="676" spans="2:11">
      <c r="B676" s="3" t="s">
        <v>331</v>
      </c>
      <c r="J676" t="str">
        <f>RIGHT(B676,LEN(B676)-FIND("src=",B676)-4)</f>
        <v>../img/tourdivide/day34/day34pic07.JPG" alt="" width="100%"&gt;</v>
      </c>
      <c r="K676" t="s">
        <v>151</v>
      </c>
    </row>
    <row r="677" spans="2:11">
      <c r="B677" s="3" t="s">
        <v>134</v>
      </c>
    </row>
    <row r="678" spans="2:11">
      <c r="B678" s="3" t="s">
        <v>332</v>
      </c>
    </row>
    <row r="679" spans="2:11">
      <c r="B679" s="3" t="s">
        <v>144</v>
      </c>
    </row>
    <row r="680" spans="2:11">
      <c r="B680" s="3" t="s">
        <v>333</v>
      </c>
      <c r="J680" t="str">
        <f>RIGHT(B680,LEN(B680)-FIND("&lt;!--",B680)-3)</f>
        <v xml:space="preserve"> Day 35--&gt;</v>
      </c>
      <c r="K680" t="s">
        <v>145</v>
      </c>
    </row>
    <row r="681" spans="2:11">
      <c r="B681" s="2" t="s">
        <v>334</v>
      </c>
      <c r="J681" t="str">
        <f>RIGHT(B681,LEN(B681)-FIND("&lt;a href=",B681)-7)</f>
        <v>"tourdivide35.html"&gt;</v>
      </c>
      <c r="K681" t="s">
        <v>146</v>
      </c>
    </row>
    <row r="682" spans="2:11">
      <c r="B682" s="3" t="s">
        <v>128</v>
      </c>
    </row>
    <row r="683" spans="2:11">
      <c r="B683" s="3" t="s">
        <v>335</v>
      </c>
      <c r="J683" t="str">
        <f>TRIM(+B683)</f>
        <v>Day 35 - On to Silver City</v>
      </c>
      <c r="K683" t="s">
        <v>147</v>
      </c>
    </row>
    <row r="684" spans="2:11">
      <c r="B684" s="3" t="s">
        <v>130</v>
      </c>
    </row>
    <row r="685" spans="2:11">
      <c r="B685" s="3" t="s">
        <v>131</v>
      </c>
    </row>
    <row r="686" spans="2:11">
      <c r="B686" s="3" t="s">
        <v>336</v>
      </c>
      <c r="J686" t="str">
        <f>TRIM(+B686)</f>
        <v>The last divide crossing, really</v>
      </c>
      <c r="K686" t="s">
        <v>148</v>
      </c>
    </row>
    <row r="687" spans="2:11">
      <c r="B687" s="3" t="s">
        <v>133</v>
      </c>
    </row>
    <row r="688" spans="2:11">
      <c r="B688" s="3" t="s">
        <v>134</v>
      </c>
    </row>
    <row r="689" spans="2:11">
      <c r="B689" s="3" t="s">
        <v>135</v>
      </c>
    </row>
    <row r="690" spans="2:11">
      <c r="B690" s="3" t="s">
        <v>337</v>
      </c>
      <c r="J690" t="str">
        <f>TRIM(+B690)</f>
        <v>Monday, July 13, 2015 Glenwood to Silver City, NM</v>
      </c>
      <c r="K690" t="s">
        <v>149</v>
      </c>
    </row>
    <row r="691" spans="2:11">
      <c r="B691" s="3" t="s">
        <v>137</v>
      </c>
    </row>
    <row r="692" spans="2:11">
      <c r="B692" s="3" t="s">
        <v>274</v>
      </c>
    </row>
    <row r="693" spans="2:11">
      <c r="B693" s="3" t="s">
        <v>338</v>
      </c>
      <c r="J693" t="str">
        <f>TRIM(+B693)</f>
        <v>6:08 AM, 63.8mi, 3,625ft</v>
      </c>
      <c r="K693" t="s">
        <v>150</v>
      </c>
    </row>
    <row r="694" spans="2:11">
      <c r="B694" s="3" t="s">
        <v>275</v>
      </c>
    </row>
    <row r="695" spans="2:11">
      <c r="B695" s="3" t="s">
        <v>339</v>
      </c>
      <c r="J695" t="str">
        <f>RIGHT(B695,LEN(B695)-FIND("&lt;a href=",B695)-7)</f>
        <v>"tourdivide35.html"&gt;</v>
      </c>
      <c r="K695" t="s">
        <v>146</v>
      </c>
    </row>
    <row r="696" spans="2:11">
      <c r="B696" s="3" t="s">
        <v>340</v>
      </c>
      <c r="J696" t="str">
        <f>RIGHT(B696,LEN(B696)-FIND("src=",B696)-4)</f>
        <v>../img/tourdivide/day35/day35pic02.JPG" alt="" width="100%"&gt;</v>
      </c>
      <c r="K696" t="s">
        <v>151</v>
      </c>
    </row>
    <row r="697" spans="2:11">
      <c r="B697" s="3" t="s">
        <v>134</v>
      </c>
    </row>
    <row r="698" spans="2:11">
      <c r="B698" s="3" t="s">
        <v>341</v>
      </c>
    </row>
    <row r="699" spans="2:11">
      <c r="B699" s="3" t="s">
        <v>342</v>
      </c>
      <c r="J699" t="str">
        <f>RIGHT(B699,LEN(B699)-FIND("&lt;!--",B699)-3)</f>
        <v xml:space="preserve"> Day 36--&gt;</v>
      </c>
      <c r="K699" t="s">
        <v>145</v>
      </c>
    </row>
    <row r="700" spans="2:11">
      <c r="B700" s="2" t="s">
        <v>343</v>
      </c>
      <c r="J700" t="str">
        <f>RIGHT(B700,LEN(B700)-FIND("&lt;a href=",B700)-7)</f>
        <v>"tourdivide36.html"&gt;</v>
      </c>
      <c r="K700" t="s">
        <v>146</v>
      </c>
    </row>
    <row r="701" spans="2:11">
      <c r="B701" s="3" t="s">
        <v>128</v>
      </c>
    </row>
    <row r="702" spans="2:11">
      <c r="B702" s="3" t="s">
        <v>344</v>
      </c>
      <c r="J702" t="str">
        <f>TRIM(+B702)</f>
        <v>Day 36 - No more days</v>
      </c>
      <c r="K702" t="s">
        <v>147</v>
      </c>
    </row>
    <row r="703" spans="2:11">
      <c r="B703" s="3" t="s">
        <v>130</v>
      </c>
    </row>
    <row r="704" spans="2:11">
      <c r="B704" s="3" t="s">
        <v>131</v>
      </c>
    </row>
    <row r="705" spans="2:11">
      <c r="B705" s="3" t="s">
        <v>345</v>
      </c>
      <c r="J705" t="str">
        <f>TRIM(+B705)</f>
        <v>It's all downhill from here</v>
      </c>
      <c r="K705" t="s">
        <v>148</v>
      </c>
    </row>
    <row r="706" spans="2:11">
      <c r="B706" s="3" t="s">
        <v>133</v>
      </c>
    </row>
    <row r="707" spans="2:11">
      <c r="B707" s="3" t="s">
        <v>134</v>
      </c>
    </row>
    <row r="708" spans="2:11">
      <c r="B708" s="3" t="s">
        <v>135</v>
      </c>
    </row>
    <row r="709" spans="2:11">
      <c r="B709" s="3" t="s">
        <v>346</v>
      </c>
      <c r="J709" t="str">
        <f>TRIM(+B709)</f>
        <v>Tuesday, July 14, 2015 Silver City, NM to Palomas, Mexico</v>
      </c>
      <c r="K709" t="s">
        <v>149</v>
      </c>
    </row>
    <row r="710" spans="2:11">
      <c r="B710" s="3" t="s">
        <v>137</v>
      </c>
    </row>
    <row r="711" spans="2:11">
      <c r="B711" s="3" t="s">
        <v>274</v>
      </c>
    </row>
    <row r="712" spans="2:11">
      <c r="B712" s="3" t="s">
        <v>347</v>
      </c>
      <c r="J712" t="str">
        <f>TRIM(+B712)</f>
        <v>6:28 AM, 6h 5m, 87.1mi, 507ft</v>
      </c>
      <c r="K712" t="s">
        <v>150</v>
      </c>
    </row>
    <row r="713" spans="2:11">
      <c r="B713" s="3" t="s">
        <v>275</v>
      </c>
    </row>
    <row r="714" spans="2:11">
      <c r="B714" s="3" t="s">
        <v>348</v>
      </c>
      <c r="J714" t="str">
        <f>RIGHT(B714,LEN(B714)-FIND("&lt;a href=",B714)-7)</f>
        <v>"tourdivide36.html"&gt;</v>
      </c>
      <c r="K714" t="s">
        <v>146</v>
      </c>
    </row>
    <row r="715" spans="2:11">
      <c r="B715" s="3" t="s">
        <v>349</v>
      </c>
      <c r="J715" t="str">
        <f>RIGHT(B715,LEN(B715)-FIND("src=",B715)-4)</f>
        <v>../img/tourdivide/day36/day36pic08.JPG" alt="" width="100%"&gt;</v>
      </c>
      <c r="K715" t="s">
        <v>151</v>
      </c>
    </row>
    <row r="716" spans="2:11">
      <c r="B716" s="3" t="s">
        <v>134</v>
      </c>
    </row>
    <row r="717" spans="2:11">
      <c r="B717" s="3" t="s">
        <v>350</v>
      </c>
    </row>
  </sheetData>
  <autoFilter ref="B6:N717" xr:uid="{73909074-9DE6-48CE-99C9-33A900A70E00}"/>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C70F3D-2E2D-4D69-8146-1589A04C8A7F}">
  <dimension ref="A5:G1006"/>
  <sheetViews>
    <sheetView topLeftCell="A40" workbookViewId="0">
      <selection activeCell="A7" sqref="A7"/>
    </sheetView>
  </sheetViews>
  <sheetFormatPr defaultRowHeight="15"/>
  <cols>
    <col min="1" max="1" width="78.7109375" bestFit="1" customWidth="1"/>
    <col min="2" max="2" width="11.5703125" bestFit="1" customWidth="1"/>
    <col min="3" max="3" width="65.5703125" bestFit="1" customWidth="1"/>
  </cols>
  <sheetData>
    <row r="5" spans="1:3">
      <c r="A5" t="s">
        <v>607</v>
      </c>
    </row>
    <row r="6" spans="1:3">
      <c r="A6" t="str">
        <f>"'"&amp;B6&amp;"' : '"&amp;C6&amp;"',"</f>
        <v>'dayid' : ' Day 1',</v>
      </c>
      <c r="B6" t="s">
        <v>145</v>
      </c>
      <c r="C6" t="s">
        <v>494</v>
      </c>
    </row>
    <row r="7" spans="1:3">
      <c r="A7" t="str">
        <f>"'"&amp;B7&amp;"' : '"&amp;C7&amp;"',"</f>
        <v>'dayHref' : 'tourdivide01.html',</v>
      </c>
      <c r="B7" t="s">
        <v>146</v>
      </c>
      <c r="C7" t="s">
        <v>530</v>
      </c>
    </row>
    <row r="9" spans="1:3">
      <c r="A9" t="str">
        <f>"'"&amp;B9&amp;"' : '"&amp;C9&amp;"',"</f>
        <v>'h2PostTitle' : 'Day 1 - Leaving Banff was the easy part.',</v>
      </c>
      <c r="B9" t="s">
        <v>147</v>
      </c>
      <c r="C9" t="s">
        <v>438</v>
      </c>
    </row>
    <row r="12" spans="1:3">
      <c r="A12" t="str">
        <f>"'"&amp;B12&amp;"' : '"&amp;C12&amp;"',"</f>
        <v>'h3SubTitle' : 'Those hills didn't look so steep in the pictures',</v>
      </c>
      <c r="B12" t="s">
        <v>148</v>
      </c>
      <c r="C12" t="s">
        <v>439</v>
      </c>
    </row>
    <row r="16" spans="1:3">
      <c r="A16" t="str">
        <f>"'"&amp;B16&amp;"' : '"&amp;C16&amp;"',"</f>
        <v>'pPostMeta' : 'Tuesday, June 9, 2015 Banff, Alberta, Canada to Bolton Trading Post',</v>
      </c>
      <c r="B16" t="s">
        <v>149</v>
      </c>
      <c r="C16" t="s">
        <v>440</v>
      </c>
    </row>
    <row r="19" spans="1:3">
      <c r="A19" t="str">
        <f>"'"&amp;B19&amp;"' : '"&amp;C19&amp;"',"</f>
        <v>'h4DateStats' : '9:59AM, 6h48m, 62.4 miles, 4,814 ft of climbing',</v>
      </c>
      <c r="B19" t="s">
        <v>150</v>
      </c>
      <c r="C19" t="s">
        <v>441</v>
      </c>
    </row>
    <row r="21" spans="1:3">
      <c r="A21" t="str">
        <f>"'"&amp;B21&amp;"' : '"&amp;C21&amp;"',"</f>
        <v>'dayHref' : 'tourdivide01.html',</v>
      </c>
      <c r="B21" t="s">
        <v>146</v>
      </c>
      <c r="C21" t="s">
        <v>530</v>
      </c>
    </row>
    <row r="22" spans="1:3">
      <c r="A22" t="str">
        <f t="shared" ref="A22" si="0">"'"&amp;B22&amp;"' : '"&amp;C22&amp;"'"</f>
        <v>'dayImg' : '../img/tourdivide/day01/day01pic02.jpg'</v>
      </c>
      <c r="B22" t="s">
        <v>151</v>
      </c>
      <c r="C22" t="s">
        <v>571</v>
      </c>
    </row>
    <row r="26" spans="1:3">
      <c r="A26" t="str">
        <f t="shared" ref="A26:A27" si="1">"'"&amp;B26&amp;"' : '"&amp;C26&amp;"',"</f>
        <v>'dayid' : ' Day 2',</v>
      </c>
      <c r="B26" t="s">
        <v>145</v>
      </c>
      <c r="C26" t="s">
        <v>495</v>
      </c>
    </row>
    <row r="27" spans="1:3">
      <c r="A27" t="str">
        <f t="shared" si="1"/>
        <v>'dayHref' : 'tourdivide02.html',</v>
      </c>
      <c r="B27" t="s">
        <v>146</v>
      </c>
      <c r="C27" t="s">
        <v>531</v>
      </c>
    </row>
    <row r="29" spans="1:3">
      <c r="A29" t="str">
        <f>"'"&amp;B29&amp;"' : '"&amp;C29&amp;"',"</f>
        <v>'h2PostTitle' : 'Day 2 - Tires and Helmets',</v>
      </c>
      <c r="B29" t="s">
        <v>147</v>
      </c>
      <c r="C29" t="s">
        <v>442</v>
      </c>
    </row>
    <row r="32" spans="1:3">
      <c r="A32" t="str">
        <f>"'"&amp;B32&amp;"' : '"&amp;C32&amp;"',"</f>
        <v>'h3SubTitle' : 'First Divide pass and a shaky set of tires',</v>
      </c>
      <c r="B32" t="s">
        <v>148</v>
      </c>
      <c r="C32" t="s">
        <v>443</v>
      </c>
    </row>
    <row r="36" spans="1:6">
      <c r="A36" t="str">
        <f>"'"&amp;B36&amp;"' : '"&amp;C36&amp;"',"</f>
        <v>'pPostMeta' : 'Wednesday, June 10, 2015 Bolton Trading Post to Elkford, BC',</v>
      </c>
      <c r="B36" t="s">
        <v>149</v>
      </c>
      <c r="C36" t="s">
        <v>444</v>
      </c>
    </row>
    <row r="39" spans="1:6">
      <c r="A39" t="str">
        <f>"'"&amp;B39&amp;"' : '"&amp;C39&amp;"',"</f>
        <v>'h4DateStats' : '7:10am, 9h48m, 52.3 miles, 2,490 ft of climbing',</v>
      </c>
      <c r="B39" t="s">
        <v>150</v>
      </c>
      <c r="C39" t="s">
        <v>445</v>
      </c>
    </row>
    <row r="41" spans="1:6">
      <c r="A41" t="str">
        <f>"'"&amp;B41&amp;"' : '"&amp;C41&amp;"',"</f>
        <v>'dayHref' : 'tourdivide02.html',</v>
      </c>
      <c r="B41" t="s">
        <v>146</v>
      </c>
      <c r="C41" t="s">
        <v>531</v>
      </c>
    </row>
    <row r="42" spans="1:6">
      <c r="A42" t="str">
        <f t="shared" ref="A42" si="2">"'"&amp;B42&amp;"' : '"&amp;C42&amp;"'"</f>
        <v>'dayImg' : '../img/tourdivide/day02/day02pic02.jpg'</v>
      </c>
      <c r="B42" t="s">
        <v>151</v>
      </c>
      <c r="C42" t="s">
        <v>572</v>
      </c>
      <c r="F42" t="s">
        <v>2535</v>
      </c>
    </row>
    <row r="46" spans="1:6">
      <c r="A46" t="str">
        <f t="shared" ref="A46:A47" si="3">"'"&amp;B46&amp;"' : '"&amp;C46&amp;"',"</f>
        <v>'dayid' : ' Day 3',</v>
      </c>
      <c r="B46" t="s">
        <v>145</v>
      </c>
      <c r="C46" t="s">
        <v>496</v>
      </c>
    </row>
    <row r="47" spans="1:6">
      <c r="A47" t="str">
        <f t="shared" si="3"/>
        <v>'dayHref' : 'tourdivide03.html',</v>
      </c>
      <c r="B47" t="s">
        <v>146</v>
      </c>
      <c r="C47" t="s">
        <v>532</v>
      </c>
    </row>
    <row r="49" spans="1:7">
      <c r="A49" t="str">
        <f>"'"&amp;B49&amp;"' : '"&amp;C49&amp;"',"</f>
        <v>'h2PostTitle' : 'Day 3 - Fixing the Bike and shedding gear',</v>
      </c>
      <c r="B49" t="s">
        <v>147</v>
      </c>
      <c r="C49" t="s">
        <v>446</v>
      </c>
      <c r="G49" t="s">
        <v>2536</v>
      </c>
    </row>
    <row r="52" spans="1:7">
      <c r="A52" t="str">
        <f>"'"&amp;B52&amp;"' : '"&amp;C52&amp;"',"</f>
        <v>'h3SubTitle' : 'Another short ride and then some maintenance',</v>
      </c>
      <c r="B52" t="s">
        <v>148</v>
      </c>
      <c r="C52" t="s">
        <v>447</v>
      </c>
    </row>
    <row r="56" spans="1:7">
      <c r="A56" t="str">
        <f>"'"&amp;B56&amp;"' : '"&amp;C56&amp;"',"</f>
        <v>'pPostMeta' : 'Thursday, June 11, 2015 Elkford to Sparwood',</v>
      </c>
      <c r="B56" t="s">
        <v>149</v>
      </c>
      <c r="C56" t="s">
        <v>448</v>
      </c>
    </row>
    <row r="59" spans="1:7">
      <c r="A59" t="str">
        <f>"'"&amp;B59&amp;"' : '"&amp;C59&amp;"',"</f>
        <v>'h4DateStats' : '7:16am, 3h30m, 30.7 miles, 1,562 ft of climbing',</v>
      </c>
      <c r="B59" t="s">
        <v>150</v>
      </c>
      <c r="C59" t="s">
        <v>449</v>
      </c>
    </row>
    <row r="61" spans="1:7">
      <c r="A61" t="str">
        <f>"'"&amp;B61&amp;"' : '"&amp;C61&amp;"',"</f>
        <v>'dayHref' : 'tourdivide03.html',</v>
      </c>
      <c r="B61" t="s">
        <v>146</v>
      </c>
      <c r="C61" t="s">
        <v>532</v>
      </c>
    </row>
    <row r="62" spans="1:7">
      <c r="A62" t="str">
        <f t="shared" ref="A62" si="4">"'"&amp;B62&amp;"' : '"&amp;C62&amp;"'"</f>
        <v>'dayImg' : '../img/tourdivide/day03/day03pic00v2.jpg'</v>
      </c>
      <c r="B62" t="s">
        <v>151</v>
      </c>
      <c r="C62" t="s">
        <v>573</v>
      </c>
    </row>
    <row r="66" spans="1:3">
      <c r="A66" t="str">
        <f t="shared" ref="A66:A67" si="5">"'"&amp;B66&amp;"' : '"&amp;C66&amp;"',"</f>
        <v>'dayid' : ' Day 4',</v>
      </c>
      <c r="B66" t="s">
        <v>145</v>
      </c>
      <c r="C66" t="s">
        <v>497</v>
      </c>
    </row>
    <row r="67" spans="1:3">
      <c r="A67" t="str">
        <f t="shared" si="5"/>
        <v>'dayHref' : 'tourdivide04.html',</v>
      </c>
      <c r="B67" t="s">
        <v>146</v>
      </c>
      <c r="C67" t="s">
        <v>533</v>
      </c>
    </row>
    <row r="69" spans="1:3">
      <c r="A69" t="str">
        <f>"'"&amp;B69&amp;"' : '"&amp;C69&amp;"',"</f>
        <v>'h2PostTitle' : 'Day 04 - Stream or Trail??',</v>
      </c>
      <c r="B69" t="s">
        <v>147</v>
      </c>
      <c r="C69" t="s">
        <v>450</v>
      </c>
    </row>
    <row r="72" spans="1:3">
      <c r="A72" t="str">
        <f>"'"&amp;B72&amp;"' : '"&amp;C72&amp;"',"</f>
        <v>'h3SubTitle' : 'Two passes then ...shooting guns and blowing stuff up',</v>
      </c>
      <c r="B72" t="s">
        <v>148</v>
      </c>
      <c r="C72" t="s">
        <v>493</v>
      </c>
    </row>
    <row r="76" spans="1:3">
      <c r="A76" t="str">
        <f>"'"&amp;B76&amp;"' : '"&amp;C76&amp;"',"</f>
        <v>'pPostMeta' : 'Friday, June 12, 2015 Sparwood to part way up Cabin Pass',</v>
      </c>
      <c r="B76" t="s">
        <v>149</v>
      </c>
      <c r="C76" t="s">
        <v>451</v>
      </c>
    </row>
    <row r="79" spans="1:3">
      <c r="A79" t="str">
        <f>"'"&amp;B79&amp;"' : '"&amp;C79&amp;"',"</f>
        <v>'h4DateStats' : '7:02am, 7h56m, 72.8 miles, 4,557 ft of climbing',</v>
      </c>
      <c r="B79" t="s">
        <v>150</v>
      </c>
      <c r="C79" t="s">
        <v>452</v>
      </c>
    </row>
    <row r="81" spans="1:3">
      <c r="A81" t="str">
        <f>"'"&amp;B81&amp;"' : '"&amp;C81&amp;"',"</f>
        <v>'dayHref' : 'tourdivide04.html',</v>
      </c>
      <c r="B81" t="s">
        <v>146</v>
      </c>
      <c r="C81" t="s">
        <v>533</v>
      </c>
    </row>
    <row r="82" spans="1:3">
      <c r="A82" t="str">
        <f t="shared" ref="A82" si="6">"'"&amp;B82&amp;"' : '"&amp;C82&amp;"'"</f>
        <v>'dayImg' : '../img/tourdivide/day04/day04pic00.JPG'</v>
      </c>
      <c r="B82" t="s">
        <v>151</v>
      </c>
      <c r="C82" t="s">
        <v>574</v>
      </c>
    </row>
    <row r="86" spans="1:3">
      <c r="A86" t="str">
        <f t="shared" ref="A86:A87" si="7">"'"&amp;B86&amp;"' : '"&amp;C86&amp;"',"</f>
        <v>'dayid' : ' Day 5',</v>
      </c>
      <c r="B86" t="s">
        <v>145</v>
      </c>
      <c r="C86" t="s">
        <v>498</v>
      </c>
    </row>
    <row r="87" spans="1:3">
      <c r="A87" t="str">
        <f t="shared" si="7"/>
        <v>'dayHref' : 'tourdivide05.html',</v>
      </c>
      <c r="B87" t="s">
        <v>146</v>
      </c>
      <c r="C87" t="s">
        <v>534</v>
      </c>
    </row>
    <row r="89" spans="1:3">
      <c r="A89" t="str">
        <f>"'"&amp;B89&amp;"' : '"&amp;C89&amp;"',"</f>
        <v>'h2PostTitle' : 'Day 5 - Cabin Pass, The Wall (WTF) and Galton Pass',</v>
      </c>
      <c r="B89" t="s">
        <v>147</v>
      </c>
      <c r="C89" t="s">
        <v>453</v>
      </c>
    </row>
    <row r="92" spans="1:3">
      <c r="A92" t="str">
        <f>"'"&amp;B92&amp;"' : '"&amp;C92&amp;"',"</f>
        <v>'h3SubTitle' : 'Last day in Canada and it's a good one',</v>
      </c>
      <c r="B92" t="s">
        <v>148</v>
      </c>
      <c r="C92" t="s">
        <v>454</v>
      </c>
    </row>
    <row r="96" spans="1:3">
      <c r="A96" t="str">
        <f>"'"&amp;B96&amp;"' : '"&amp;C96&amp;"',"</f>
        <v>'pPostMeta' : 'Saturday, June 13, 2015 Cabin Pass to Eureka, MT, USA',</v>
      </c>
      <c r="B96" t="s">
        <v>149</v>
      </c>
      <c r="C96" t="s">
        <v>455</v>
      </c>
    </row>
    <row r="99" spans="1:3">
      <c r="A99" t="str">
        <f>"'"&amp;B99&amp;"' : '"&amp;C99&amp;"',"</f>
        <v>'h4DateStats' : '7:39am, 7h40m, 59.8 miles, 4,548 ft of climbing',</v>
      </c>
      <c r="B99" t="s">
        <v>150</v>
      </c>
      <c r="C99" t="s">
        <v>456</v>
      </c>
    </row>
    <row r="101" spans="1:3">
      <c r="A101" t="str">
        <f>"'"&amp;B101&amp;"' : '"&amp;C101&amp;"',"</f>
        <v>'dayHref' : 'tourdivide05.html',</v>
      </c>
      <c r="B101" t="s">
        <v>146</v>
      </c>
      <c r="C101" t="s">
        <v>534</v>
      </c>
    </row>
    <row r="102" spans="1:3">
      <c r="A102" t="str">
        <f t="shared" ref="A102" si="8">"'"&amp;B102&amp;"' : '"&amp;C102&amp;"'"</f>
        <v>'dayImg' : '../img/tourdivide/day05/day05pic00.JPG'</v>
      </c>
      <c r="B102" t="s">
        <v>151</v>
      </c>
      <c r="C102" t="s">
        <v>575</v>
      </c>
    </row>
    <row r="106" spans="1:3">
      <c r="A106" t="str">
        <f t="shared" ref="A106:A107" si="9">"'"&amp;B106&amp;"' : '"&amp;C106&amp;"',"</f>
        <v>'dayid' : ' Day 6',</v>
      </c>
      <c r="B106" t="s">
        <v>145</v>
      </c>
      <c r="C106" t="s">
        <v>499</v>
      </c>
    </row>
    <row r="107" spans="1:3">
      <c r="A107" t="str">
        <f t="shared" si="9"/>
        <v>'dayHref' : 'tourdivide06.html',</v>
      </c>
      <c r="B107" t="s">
        <v>146</v>
      </c>
      <c r="C107" t="s">
        <v>535</v>
      </c>
    </row>
    <row r="109" spans="1:3">
      <c r="A109" t="str">
        <f>"'"&amp;B109&amp;"' : '"&amp;C109&amp;"',"</f>
        <v>'h2PostTitle' : 'Day 6 - Whitefish Pass and Red Meadow Lake',</v>
      </c>
      <c r="B109" t="s">
        <v>147</v>
      </c>
      <c r="C109" t="s">
        <v>457</v>
      </c>
    </row>
    <row r="112" spans="1:3">
      <c r="A112" t="str">
        <f>"'"&amp;B112&amp;"' : '"&amp;C112&amp;"',"</f>
        <v>'h3SubTitle' : 'Now I know why you don't use tubes',</v>
      </c>
      <c r="B112" t="s">
        <v>148</v>
      </c>
      <c r="C112" t="s">
        <v>458</v>
      </c>
    </row>
    <row r="116" spans="1:3">
      <c r="A116" t="str">
        <f>"'"&amp;B116&amp;"' : '"&amp;C116&amp;"',"</f>
        <v>'pPostMeta' : 'Sunday, June 14, 2015 Eureka to Whitefish Lake, MT',</v>
      </c>
      <c r="B116" t="s">
        <v>149</v>
      </c>
      <c r="C116" t="s">
        <v>459</v>
      </c>
    </row>
    <row r="119" spans="1:3">
      <c r="A119" t="str">
        <f>"'"&amp;B119&amp;"' : '"&amp;C119&amp;"',"</f>
        <v>'h4DateStats' : '5:57am, 10h3m, 94.7 miles, 5,833 ft of climbing',</v>
      </c>
      <c r="B119" t="s">
        <v>150</v>
      </c>
      <c r="C119" t="s">
        <v>460</v>
      </c>
    </row>
    <row r="121" spans="1:3">
      <c r="A121" t="str">
        <f>"'"&amp;B121&amp;"' : '"&amp;C121&amp;"',"</f>
        <v>'dayHref' : 'tourdivide06.html',</v>
      </c>
      <c r="B121" t="s">
        <v>146</v>
      </c>
      <c r="C121" t="s">
        <v>535</v>
      </c>
    </row>
    <row r="122" spans="1:3">
      <c r="A122" t="str">
        <f t="shared" ref="A122" si="10">"'"&amp;B122&amp;"' : '"&amp;C122&amp;"'"</f>
        <v>'dayImg' : '../img/tourdivide/day06/day06pic00.JPG'</v>
      </c>
      <c r="B122" t="s">
        <v>151</v>
      </c>
      <c r="C122" t="s">
        <v>576</v>
      </c>
    </row>
    <row r="126" spans="1:3">
      <c r="A126" t="str">
        <f t="shared" ref="A126:A127" si="11">"'"&amp;B126&amp;"' : '"&amp;C126&amp;"',"</f>
        <v>'dayid' : ' Day 7',</v>
      </c>
      <c r="B126" t="s">
        <v>145</v>
      </c>
      <c r="C126" t="s">
        <v>500</v>
      </c>
    </row>
    <row r="127" spans="1:3">
      <c r="A127" t="str">
        <f t="shared" si="11"/>
        <v>'dayHref' : 'tourdivide07.html',</v>
      </c>
      <c r="B127" t="s">
        <v>146</v>
      </c>
      <c r="C127" t="s">
        <v>536</v>
      </c>
    </row>
    <row r="129" spans="1:3">
      <c r="A129" t="str">
        <f>"'"&amp;B129&amp;"' : '"&amp;C129&amp;"',"</f>
        <v>'h2PostTitle' : 'Day 07 - A flat 40 miles to a nice B&amp;B',</v>
      </c>
      <c r="B129" t="s">
        <v>147</v>
      </c>
      <c r="C129" t="s">
        <v>461</v>
      </c>
    </row>
    <row r="132" spans="1:3">
      <c r="A132" t="str">
        <f>"'"&amp;B132&amp;"' : '"&amp;C132&amp;"',"</f>
        <v>'h3SubTitle' : 'A partial rest, laundry and an easy 47 including an extra 4',</v>
      </c>
      <c r="B132" t="s">
        <v>148</v>
      </c>
      <c r="C132" t="s">
        <v>462</v>
      </c>
    </row>
    <row r="136" spans="1:3">
      <c r="A136" t="str">
        <f>"'"&amp;B136&amp;"' : '"&amp;C136&amp;"',"</f>
        <v>'pPostMeta' : 'Monday, June 15, 2015 Whitefish to Ferndale, MT',</v>
      </c>
      <c r="B136" t="s">
        <v>149</v>
      </c>
      <c r="C136" t="s">
        <v>463</v>
      </c>
    </row>
    <row r="139" spans="1:3">
      <c r="A139" t="str">
        <f>"'"&amp;B139&amp;"' : '"&amp;C139&amp;"',"</f>
        <v>'h4DateStats' : '11:38am, 3h55m, 47.3 miles, 986 ft of climbing',</v>
      </c>
      <c r="B139" t="s">
        <v>150</v>
      </c>
      <c r="C139" t="s">
        <v>464</v>
      </c>
    </row>
    <row r="141" spans="1:3">
      <c r="A141" t="str">
        <f>"'"&amp;B141&amp;"' : '"&amp;C141&amp;"',"</f>
        <v>'dayHref' : 'tourdivide07.html',</v>
      </c>
      <c r="B141" t="s">
        <v>146</v>
      </c>
      <c r="C141" t="s">
        <v>536</v>
      </c>
    </row>
    <row r="142" spans="1:3">
      <c r="A142" t="str">
        <f t="shared" ref="A142" si="12">"'"&amp;B142&amp;"' : '"&amp;C142&amp;"'"</f>
        <v>'dayImg' : '../img/tourdivide/day07/day07pic00.JPG'</v>
      </c>
      <c r="B142" t="s">
        <v>151</v>
      </c>
      <c r="C142" t="s">
        <v>577</v>
      </c>
    </row>
    <row r="146" spans="1:3">
      <c r="A146" t="str">
        <f t="shared" ref="A146:A147" si="13">"'"&amp;B146&amp;"' : '"&amp;C146&amp;"',"</f>
        <v>'dayid' : ' Day 8',</v>
      </c>
      <c r="B146" t="s">
        <v>145</v>
      </c>
      <c r="C146" t="s">
        <v>501</v>
      </c>
    </row>
    <row r="147" spans="1:3">
      <c r="A147" t="str">
        <f t="shared" si="13"/>
        <v>'dayHref' : 'tourdivide08.html',</v>
      </c>
      <c r="B147" t="s">
        <v>146</v>
      </c>
      <c r="C147" t="s">
        <v>537</v>
      </c>
    </row>
    <row r="149" spans="1:3">
      <c r="A149" t="str">
        <f>"'"&amp;B149&amp;"' : '"&amp;C149&amp;"',"</f>
        <v>'h2PostTitle' : 'Day 08 - Grizzly Country and climbs just for fun',</v>
      </c>
      <c r="B149" t="s">
        <v>147</v>
      </c>
      <c r="C149" t="s">
        <v>465</v>
      </c>
    </row>
    <row r="152" spans="1:3">
      <c r="A152" t="str">
        <f>"'"&amp;B152&amp;"' : '"&amp;C152&amp;"',"</f>
        <v>'h3SubTitle' : 'Tough climbs, a nice ride until washboard - great setting at the end',</v>
      </c>
      <c r="B152" t="s">
        <v>148</v>
      </c>
      <c r="C152" t="s">
        <v>466</v>
      </c>
    </row>
    <row r="156" spans="1:3">
      <c r="A156" t="str">
        <f>"'"&amp;B156&amp;"' : '"&amp;C156&amp;"',"</f>
        <v>'pPostMeta' : 'Tuesday, June 16, 2015 Ferndale to Holland Lake, MT',</v>
      </c>
      <c r="B156" t="s">
        <v>149</v>
      </c>
      <c r="C156" t="s">
        <v>467</v>
      </c>
    </row>
    <row r="159" spans="1:3">
      <c r="A159" t="str">
        <f>"'"&amp;B159&amp;"' : '"&amp;C159&amp;"',"</f>
        <v>'h4DateStats' : 'left at 8:39am, 8h24m, 71.8 miles, 5,697 ft of climbing',</v>
      </c>
      <c r="B159" t="s">
        <v>150</v>
      </c>
      <c r="C159" t="s">
        <v>468</v>
      </c>
    </row>
    <row r="161" spans="1:3">
      <c r="A161" t="str">
        <f>"'"&amp;B161&amp;"' : '"&amp;C161&amp;"',"</f>
        <v>'dayHref' : 'tourdivide08.html',</v>
      </c>
      <c r="B161" t="s">
        <v>146</v>
      </c>
      <c r="C161" t="s">
        <v>537</v>
      </c>
    </row>
    <row r="162" spans="1:3">
      <c r="A162" t="str">
        <f t="shared" ref="A162" si="14">"'"&amp;B162&amp;"' : '"&amp;C162&amp;"'"</f>
        <v>'dayImg' : '../img/tourdivide/day08/day08pic00.JPG'</v>
      </c>
      <c r="B162" t="s">
        <v>151</v>
      </c>
      <c r="C162" t="s">
        <v>578</v>
      </c>
    </row>
    <row r="166" spans="1:3">
      <c r="A166" t="str">
        <f t="shared" ref="A166:A167" si="15">"'"&amp;B166&amp;"' : '"&amp;C166&amp;"',"</f>
        <v>'dayid' : ' Day 9',</v>
      </c>
      <c r="B166" t="s">
        <v>145</v>
      </c>
      <c r="C166" t="s">
        <v>502</v>
      </c>
    </row>
    <row r="167" spans="1:3">
      <c r="A167" t="str">
        <f t="shared" si="15"/>
        <v>'dayHref' : 'tourdivide09.html',</v>
      </c>
      <c r="B167" t="s">
        <v>146</v>
      </c>
      <c r="C167" t="s">
        <v>538</v>
      </c>
    </row>
    <row r="169" spans="1:3">
      <c r="A169" t="str">
        <f>"'"&amp;B169&amp;"' : '"&amp;C169&amp;"',"</f>
        <v>'h2PostTitle' : 'Day 9 - Coming around the mountain',</v>
      </c>
      <c r="B169" t="s">
        <v>147</v>
      </c>
      <c r="C169" t="s">
        <v>469</v>
      </c>
    </row>
    <row r="172" spans="1:3">
      <c r="A172" t="str">
        <f>"'"&amp;B172&amp;"' : '"&amp;C172&amp;"',"</f>
        <v>'h3SubTitle' : 'Circling Richmond Peak and a huge save',</v>
      </c>
      <c r="B172" t="s">
        <v>148</v>
      </c>
      <c r="C172" t="s">
        <v>470</v>
      </c>
    </row>
    <row r="176" spans="1:3">
      <c r="A176" t="str">
        <f>"'"&amp;B176&amp;"' : '"&amp;C176&amp;"',"</f>
        <v>'pPostMeta' : 'Wednesday, June 17, 2015 Holland Lake to Ovando, MT',</v>
      </c>
      <c r="B176" t="s">
        <v>149</v>
      </c>
      <c r="C176" t="s">
        <v>471</v>
      </c>
    </row>
    <row r="179" spans="1:3">
      <c r="A179" t="str">
        <f>"'"&amp;B179&amp;"' : '"&amp;C179&amp;"',"</f>
        <v>'h4DateStats' : '8:45 AM, 8h49m, 60.34 miles, 5,574 ft of climbing',</v>
      </c>
      <c r="B179" t="s">
        <v>150</v>
      </c>
      <c r="C179" t="s">
        <v>472</v>
      </c>
    </row>
    <row r="181" spans="1:3">
      <c r="A181" t="str">
        <f>"'"&amp;B181&amp;"' : '"&amp;C181&amp;"',"</f>
        <v>'dayHref' : 'tourdivide09.html',</v>
      </c>
      <c r="B181" t="s">
        <v>146</v>
      </c>
      <c r="C181" t="s">
        <v>538</v>
      </c>
    </row>
    <row r="182" spans="1:3">
      <c r="A182" t="str">
        <f t="shared" ref="A182" si="16">"'"&amp;B182&amp;"' : '"&amp;C182&amp;"'"</f>
        <v>'dayImg' : '../img/tourdivide/day09/day09pic00.JPG'</v>
      </c>
      <c r="B182" t="s">
        <v>151</v>
      </c>
      <c r="C182" t="s">
        <v>579</v>
      </c>
    </row>
    <row r="186" spans="1:3">
      <c r="A186" t="str">
        <f t="shared" ref="A186:A187" si="17">"'"&amp;B186&amp;"' : '"&amp;C186&amp;"',"</f>
        <v>'dayid' : ' Day 10',</v>
      </c>
      <c r="B186" t="s">
        <v>145</v>
      </c>
      <c r="C186" t="s">
        <v>503</v>
      </c>
    </row>
    <row r="187" spans="1:3">
      <c r="A187" t="str">
        <f t="shared" si="17"/>
        <v>'dayHref' : 'tourdivide10.html',</v>
      </c>
      <c r="B187" t="s">
        <v>146</v>
      </c>
      <c r="C187" t="s">
        <v>539</v>
      </c>
    </row>
    <row r="189" spans="1:3">
      <c r="A189" t="str">
        <f>"'"&amp;B189&amp;"' : '"&amp;C189&amp;"',"</f>
        <v>'h2PostTitle' : 'Day 10 - Big climbing day',</v>
      </c>
      <c r="B189" t="s">
        <v>147</v>
      </c>
      <c r="C189" t="s">
        <v>473</v>
      </c>
    </row>
    <row r="192" spans="1:3">
      <c r="A192" t="str">
        <f>"'"&amp;B192&amp;"' : '"&amp;C192&amp;"',"</f>
        <v>'h3SubTitle' : 'Walk the last pass - camp when it gets dark',</v>
      </c>
      <c r="B192" t="s">
        <v>148</v>
      </c>
      <c r="C192" t="s">
        <v>474</v>
      </c>
    </row>
    <row r="196" spans="1:3">
      <c r="A196" t="str">
        <f>"'"&amp;B196&amp;"' : '"&amp;C196&amp;"',"</f>
        <v>'pPostMeta' : 'Thursday, June 18, 2015 Ovando to Priest Pass, MT',</v>
      </c>
      <c r="B196" t="s">
        <v>149</v>
      </c>
      <c r="C196" t="s">
        <v>475</v>
      </c>
    </row>
    <row r="199" spans="1:3">
      <c r="A199" t="str">
        <f>"'"&amp;B199&amp;"' : '"&amp;C199&amp;"',"</f>
        <v>'h4DateStats' : '6:55 AM, 15h10m, 86.70 miles, 8,000 ft of climbing',</v>
      </c>
      <c r="B199" t="s">
        <v>150</v>
      </c>
      <c r="C199" t="s">
        <v>476</v>
      </c>
    </row>
    <row r="201" spans="1:3">
      <c r="A201" t="str">
        <f>"'"&amp;B201&amp;"' : '"&amp;C201&amp;"',"</f>
        <v>'dayHref' : 'tourdivide10.html',</v>
      </c>
      <c r="B201" t="s">
        <v>146</v>
      </c>
      <c r="C201" t="s">
        <v>539</v>
      </c>
    </row>
    <row r="202" spans="1:3">
      <c r="A202" t="str">
        <f t="shared" ref="A202" si="18">"'"&amp;B202&amp;"' : '"&amp;C202&amp;"'"</f>
        <v>'dayImg' : '../img/tourdivide/day10/day10pic00.jpg'</v>
      </c>
      <c r="B202" t="s">
        <v>151</v>
      </c>
      <c r="C202" t="s">
        <v>580</v>
      </c>
    </row>
    <row r="206" spans="1:3">
      <c r="A206" t="str">
        <f t="shared" ref="A206:A207" si="19">"'"&amp;B206&amp;"' : '"&amp;C206&amp;"',"</f>
        <v>'dayid' : ' Day 11',</v>
      </c>
      <c r="B206" t="s">
        <v>145</v>
      </c>
      <c r="C206" t="s">
        <v>504</v>
      </c>
    </row>
    <row r="207" spans="1:3">
      <c r="A207" t="str">
        <f t="shared" si="19"/>
        <v>'dayHref' : 'tourdivide11.html',</v>
      </c>
      <c r="B207" t="s">
        <v>146</v>
      </c>
      <c r="C207" t="s">
        <v>540</v>
      </c>
    </row>
    <row r="209" spans="1:3">
      <c r="A209" t="str">
        <f>"'"&amp;B209&amp;"' : '"&amp;C209&amp;"',"</f>
        <v>'h2PostTitle' : 'Day 11 - Helena and a rest day on N. Davis St',</v>
      </c>
      <c r="B209" t="s">
        <v>147</v>
      </c>
      <c r="C209" t="s">
        <v>477</v>
      </c>
    </row>
    <row r="212" spans="1:3">
      <c r="A212" t="str">
        <f>"'"&amp;B212&amp;"' : '"&amp;C212&amp;"',"</f>
        <v>'h3SubTitle' : 'Trail magic, great breakfast, like new tires and a derailleur-hanger',</v>
      </c>
      <c r="B212" t="s">
        <v>148</v>
      </c>
      <c r="C212" t="s">
        <v>478</v>
      </c>
    </row>
    <row r="216" spans="1:3">
      <c r="A216" t="str">
        <f>"'"&amp;B216&amp;"' : '"&amp;C216&amp;"',"</f>
        <v>'pPostMeta' : 'Friday, June 19, 2015 Priest Pass to Helena, MT',</v>
      </c>
      <c r="B216" t="s">
        <v>149</v>
      </c>
      <c r="C216" t="s">
        <v>479</v>
      </c>
    </row>
    <row r="219" spans="1:3">
      <c r="A219" t="str">
        <f>"'"&amp;B219&amp;"' : '"&amp;C219&amp;"',"</f>
        <v>'h4DateStats' : '5:57am, 1h 6m, 15.9 miles, 262 ft of climbing',</v>
      </c>
      <c r="B219" t="s">
        <v>150</v>
      </c>
      <c r="C219" t="s">
        <v>480</v>
      </c>
    </row>
    <row r="221" spans="1:3">
      <c r="A221" t="str">
        <f>"'"&amp;B221&amp;"' : '"&amp;C221&amp;"',"</f>
        <v>'dayHref' : 'tourdivide11.html',</v>
      </c>
      <c r="B221" t="s">
        <v>146</v>
      </c>
      <c r="C221" t="s">
        <v>540</v>
      </c>
    </row>
    <row r="222" spans="1:3">
      <c r="A222" t="str">
        <f t="shared" ref="A222" si="20">"'"&amp;B222&amp;"' : '"&amp;C222&amp;"'"</f>
        <v>'dayImg' : '../img/tourdivide/day11/day11pic02.JPG'</v>
      </c>
      <c r="B222" t="s">
        <v>151</v>
      </c>
      <c r="C222" t="s">
        <v>581</v>
      </c>
    </row>
    <row r="226" spans="1:3">
      <c r="A226" t="str">
        <f t="shared" ref="A226:A227" si="21">"'"&amp;B226&amp;"' : '"&amp;C226&amp;"',"</f>
        <v>'dayid' : ' Day 12',</v>
      </c>
      <c r="B226" t="s">
        <v>145</v>
      </c>
      <c r="C226" t="s">
        <v>505</v>
      </c>
    </row>
    <row r="227" spans="1:3">
      <c r="A227" t="str">
        <f t="shared" si="21"/>
        <v>'dayHref' : 'tourdivide12.html',</v>
      </c>
      <c r="B227" t="s">
        <v>146</v>
      </c>
      <c r="C227" t="s">
        <v>541</v>
      </c>
    </row>
    <row r="229" spans="1:3">
      <c r="A229" t="str">
        <f>"'"&amp;B229&amp;"' : '"&amp;C229&amp;"',"</f>
        <v>'h2PostTitle' : 'Day 12 - Rocks, Roots and Missed Buses',</v>
      </c>
      <c r="B229" t="s">
        <v>147</v>
      </c>
      <c r="C229" t="s">
        <v>481</v>
      </c>
    </row>
    <row r="232" spans="1:3">
      <c r="A232" t="str">
        <f>"'"&amp;B232&amp;"' : '"&amp;C232&amp;"',"</f>
        <v>'h3SubTitle' : 'Paying for wrong turns',</v>
      </c>
      <c r="B232" t="s">
        <v>148</v>
      </c>
      <c r="C232" t="s">
        <v>482</v>
      </c>
    </row>
    <row r="236" spans="1:3">
      <c r="A236" t="str">
        <f>"'"&amp;B236&amp;"' : '"&amp;C236&amp;"',"</f>
        <v>'pPostMeta' : 'Saturday, June 20, 2015 Helena to Butte, MT',</v>
      </c>
      <c r="B236" t="s">
        <v>149</v>
      </c>
      <c r="C236" t="s">
        <v>483</v>
      </c>
    </row>
    <row r="239" spans="1:3">
      <c r="A239" t="str">
        <f>"'"&amp;B239&amp;"' : '"&amp;C239&amp;"',"</f>
        <v>'h4DateStats' : '6:56 AM 13h 54m 80.0mi 7,970ft of climbing',</v>
      </c>
      <c r="B239" t="s">
        <v>150</v>
      </c>
      <c r="C239" t="s">
        <v>484</v>
      </c>
    </row>
    <row r="241" spans="1:3">
      <c r="A241" t="str">
        <f>"'"&amp;B241&amp;"' : '"&amp;C241&amp;"',"</f>
        <v>'dayHref' : 'tourdivide12.html',</v>
      </c>
      <c r="B241" t="s">
        <v>146</v>
      </c>
      <c r="C241" t="s">
        <v>541</v>
      </c>
    </row>
    <row r="242" spans="1:3">
      <c r="A242" t="str">
        <f t="shared" ref="A242" si="22">"'"&amp;B242&amp;"' : '"&amp;C242&amp;"'"</f>
        <v>'dayImg' : '../img/tourdivide/day12/day12pic07.jpg'</v>
      </c>
      <c r="B242" t="s">
        <v>151</v>
      </c>
      <c r="C242" t="s">
        <v>582</v>
      </c>
    </row>
    <row r="246" spans="1:3">
      <c r="A246" t="str">
        <f t="shared" ref="A246:A247" si="23">"'"&amp;B246&amp;"' : '"&amp;C246&amp;"',"</f>
        <v>'dayid' : ' Day 13',</v>
      </c>
      <c r="B246" t="s">
        <v>145</v>
      </c>
      <c r="C246" t="s">
        <v>506</v>
      </c>
    </row>
    <row r="247" spans="1:3">
      <c r="A247" t="str">
        <f t="shared" si="23"/>
        <v>'dayHref' : 'tourdivide13.html',</v>
      </c>
      <c r="B247" t="s">
        <v>146</v>
      </c>
      <c r="C247" t="s">
        <v>542</v>
      </c>
    </row>
    <row r="249" spans="1:3">
      <c r="A249" t="str">
        <f>"'"&amp;B249&amp;"' : '"&amp;C249&amp;"',"</f>
        <v>'h2PostTitle' : 'Day 13 - Rerouting to Jim's Tour Divide',</v>
      </c>
      <c r="B249" t="s">
        <v>147</v>
      </c>
      <c r="C249" t="s">
        <v>485</v>
      </c>
    </row>
    <row r="252" spans="1:3">
      <c r="A252" t="str">
        <f>"'"&amp;B252&amp;"' : '"&amp;C252&amp;"',"</f>
        <v>'h3SubTitle' : 'Chocolate Milk at Great Divide Outfitters',</v>
      </c>
      <c r="B252" t="s">
        <v>148</v>
      </c>
      <c r="C252" t="s">
        <v>486</v>
      </c>
    </row>
    <row r="256" spans="1:3">
      <c r="A256" t="str">
        <f>"'"&amp;B256&amp;"' : '"&amp;C256&amp;"',"</f>
        <v>'pPostMeta' : 'Sunday, June 21, 2015 Butte to Wise River',</v>
      </c>
      <c r="B256" t="s">
        <v>149</v>
      </c>
      <c r="C256" t="s">
        <v>487</v>
      </c>
    </row>
    <row r="259" spans="1:3">
      <c r="A259" t="str">
        <f>"'"&amp;B259&amp;"' : '"&amp;C259&amp;"',"</f>
        <v>'h4DateStats' : '8:45 AM, 8h 57m, 50.60 miles, 2,960 ft of climbing',</v>
      </c>
      <c r="B259" t="s">
        <v>150</v>
      </c>
      <c r="C259" t="s">
        <v>488</v>
      </c>
    </row>
    <row r="261" spans="1:3">
      <c r="A261" t="str">
        <f>"'"&amp;B261&amp;"' : '"&amp;C261&amp;"',"</f>
        <v>'dayHref' : 'tourdivide13.html',</v>
      </c>
      <c r="B261" t="s">
        <v>146</v>
      </c>
      <c r="C261" t="s">
        <v>542</v>
      </c>
    </row>
    <row r="262" spans="1:3">
      <c r="A262" t="str">
        <f t="shared" ref="A262" si="24">"'"&amp;B262&amp;"' : '"&amp;C262&amp;"'"</f>
        <v>'dayImg' : '../img/tourdivide/day13/day13pic02.JPG'</v>
      </c>
      <c r="B262" t="s">
        <v>151</v>
      </c>
      <c r="C262" t="s">
        <v>583</v>
      </c>
    </row>
    <row r="266" spans="1:3">
      <c r="A266" t="str">
        <f t="shared" ref="A266:A267" si="25">"'"&amp;B266&amp;"' : '"&amp;C266&amp;"',"</f>
        <v>'dayid' : ' Day 14',</v>
      </c>
      <c r="B266" t="s">
        <v>145</v>
      </c>
      <c r="C266" t="s">
        <v>507</v>
      </c>
    </row>
    <row r="267" spans="1:3">
      <c r="A267" t="str">
        <f t="shared" si="25"/>
        <v>'dayHref' : 'tourdivide14.html',</v>
      </c>
      <c r="B267" t="s">
        <v>146</v>
      </c>
      <c r="C267" t="s">
        <v>543</v>
      </c>
    </row>
    <row r="269" spans="1:3">
      <c r="A269" t="str">
        <f>"'"&amp;B269&amp;"' : '"&amp;C269&amp;"',"</f>
        <v>'h2PostTitle' : 'Day 14 - Stretching it out and covering ground',</v>
      </c>
      <c r="B269" t="s">
        <v>147</v>
      </c>
      <c r="C269" t="s">
        <v>489</v>
      </c>
    </row>
    <row r="272" spans="1:3">
      <c r="A272" t="str">
        <f>"'"&amp;B272&amp;"' : '"&amp;C272&amp;"',"</f>
        <v>'h3SubTitle' : 'What about this road by the reservoir?',</v>
      </c>
      <c r="B272" t="s">
        <v>148</v>
      </c>
      <c r="C272" t="s">
        <v>490</v>
      </c>
    </row>
    <row r="276" spans="1:3">
      <c r="A276" t="str">
        <f>"'"&amp;B276&amp;"' : '"&amp;C276&amp;"',"</f>
        <v>'pPostMeta' : 'Monday, June 22, 2015 Wise River to Lima',</v>
      </c>
      <c r="B276" t="s">
        <v>149</v>
      </c>
      <c r="C276" t="s">
        <v>491</v>
      </c>
    </row>
    <row r="279" spans="1:3">
      <c r="A279" t="str">
        <f>"'"&amp;B279&amp;"' : '"&amp;C279&amp;"',"</f>
        <v>'h4DateStats' : '6:23am, 11h 21m, 105 miles, 4,188 ft of climbing',</v>
      </c>
      <c r="B279" t="s">
        <v>150</v>
      </c>
      <c r="C279" t="s">
        <v>492</v>
      </c>
    </row>
    <row r="281" spans="1:3">
      <c r="A281" t="str">
        <f>"'"&amp;B281&amp;"' : '"&amp;C281&amp;"',"</f>
        <v>'dayHref' : 'tourdivide14.html',</v>
      </c>
      <c r="B281" t="s">
        <v>146</v>
      </c>
      <c r="C281" t="s">
        <v>543</v>
      </c>
    </row>
    <row r="282" spans="1:3">
      <c r="A282" t="str">
        <f t="shared" ref="A282" si="26">"'"&amp;B282&amp;"' : '"&amp;C282&amp;"'"</f>
        <v>'dayImg' : '../img/tourdivide/day14/day14pic00.jpg'</v>
      </c>
      <c r="B282" t="s">
        <v>151</v>
      </c>
      <c r="C282" t="s">
        <v>584</v>
      </c>
    </row>
    <row r="286" spans="1:3">
      <c r="A286" t="str">
        <f t="shared" ref="A286:A287" si="27">"'"&amp;B286&amp;"' : '"&amp;C286&amp;"',"</f>
        <v>'dayid' : ' Day 15',</v>
      </c>
      <c r="B286" t="s">
        <v>145</v>
      </c>
      <c r="C286" t="s">
        <v>508</v>
      </c>
    </row>
    <row r="287" spans="1:3">
      <c r="A287" t="str">
        <f t="shared" si="27"/>
        <v>'dayHref' : 'tourdivide15.html',</v>
      </c>
      <c r="B287" t="s">
        <v>146</v>
      </c>
      <c r="C287" t="s">
        <v>544</v>
      </c>
    </row>
    <row r="289" spans="1:3">
      <c r="A289" t="str">
        <f>"'"&amp;B289&amp;"' : '"&amp;C289&amp;"',"</f>
        <v>'h2PostTitle' : 'Day 15 - Wide open spaces',</v>
      </c>
      <c r="B289" t="s">
        <v>147</v>
      </c>
      <c r="C289" t="s">
        <v>351</v>
      </c>
    </row>
    <row r="292" spans="1:3">
      <c r="A292" t="str">
        <f>"'"&amp;B292&amp;"' : '"&amp;C292&amp;"',"</f>
        <v>'h3SubTitle' : 'Leaving Montana (finally)',</v>
      </c>
      <c r="B292" t="s">
        <v>148</v>
      </c>
      <c r="C292" t="s">
        <v>352</v>
      </c>
    </row>
    <row r="296" spans="1:3">
      <c r="A296" t="str">
        <f>"'"&amp;B296&amp;"' : '"&amp;C296&amp;"',"</f>
        <v>'pPostMeta' : 'Tuesday, June 23, 2015 Lima to Mack's Inn',</v>
      </c>
      <c r="B296" t="s">
        <v>149</v>
      </c>
      <c r="C296" t="s">
        <v>353</v>
      </c>
    </row>
    <row r="299" spans="1:3">
      <c r="A299" t="str">
        <f>"'"&amp;B299&amp;"' : '"&amp;C299&amp;"',"</f>
        <v>'h4DateStats' : '7:23am, 14h 15mm, 89 miles, 2,566 ft of climbing',</v>
      </c>
      <c r="B299" t="s">
        <v>150</v>
      </c>
      <c r="C299" t="s">
        <v>354</v>
      </c>
    </row>
    <row r="301" spans="1:3">
      <c r="A301" t="str">
        <f>"'"&amp;B301&amp;"' : '"&amp;C301&amp;"',"</f>
        <v>'dayHref' : 'tourdivide15.html',</v>
      </c>
      <c r="B301" t="s">
        <v>146</v>
      </c>
      <c r="C301" t="s">
        <v>544</v>
      </c>
    </row>
    <row r="302" spans="1:3">
      <c r="A302" t="str">
        <f t="shared" ref="A302" si="28">"'"&amp;B302&amp;"' : '"&amp;C302&amp;"'"</f>
        <v>'dayImg' : '../img/tourdivide/day15/day15pic00.JPG'</v>
      </c>
      <c r="B302" t="s">
        <v>151</v>
      </c>
      <c r="C302" t="s">
        <v>585</v>
      </c>
    </row>
    <row r="306" spans="1:3">
      <c r="A306" t="str">
        <f t="shared" ref="A306:A307" si="29">"'"&amp;B306&amp;"' : '"&amp;C306&amp;"',"</f>
        <v>'dayid' : ' Day 16',</v>
      </c>
      <c r="B306" t="s">
        <v>145</v>
      </c>
      <c r="C306" t="s">
        <v>509</v>
      </c>
    </row>
    <row r="307" spans="1:3">
      <c r="A307" t="str">
        <f t="shared" si="29"/>
        <v>'dayHref' : 'tourdivide16.html',</v>
      </c>
      <c r="B307" t="s">
        <v>146</v>
      </c>
      <c r="C307" t="s">
        <v>545</v>
      </c>
    </row>
    <row r="309" spans="1:3">
      <c r="A309" t="str">
        <f>"'"&amp;B309&amp;"' : '"&amp;C309&amp;"',"</f>
        <v>'h2PostTitle' : 'Day 16 - Scenic Byway and some assistance',</v>
      </c>
      <c r="B309" t="s">
        <v>147</v>
      </c>
      <c r="C309" t="s">
        <v>355</v>
      </c>
    </row>
    <row r="312" spans="1:3">
      <c r="A312" t="str">
        <f>"'"&amp;B312&amp;"' : '"&amp;C312&amp;"',"</f>
        <v>'h3SubTitle' : 'Past Mesa Falls towards the Tetons',</v>
      </c>
      <c r="B312" t="s">
        <v>148</v>
      </c>
      <c r="C312" t="s">
        <v>356</v>
      </c>
    </row>
    <row r="316" spans="1:3">
      <c r="A316" t="str">
        <f>"'"&amp;B316&amp;"' : '"&amp;C316&amp;"',"</f>
        <v>'pPostMeta' : 'Wednesday, June 24, 2015 Island Park to Flagg Ranch, WY',</v>
      </c>
      <c r="B316" t="s">
        <v>149</v>
      </c>
      <c r="C316" t="s">
        <v>357</v>
      </c>
    </row>
    <row r="319" spans="1:3">
      <c r="A319" t="str">
        <f>"'"&amp;B319&amp;"' : '"&amp;C319&amp;"',"</f>
        <v>'h4DateStats' : '8:14 AM 81.1mi 3,374ft',</v>
      </c>
      <c r="B319" t="s">
        <v>150</v>
      </c>
      <c r="C319" t="s">
        <v>358</v>
      </c>
    </row>
    <row r="321" spans="1:3">
      <c r="A321" t="str">
        <f>"'"&amp;B321&amp;"' : '"&amp;C321&amp;"',"</f>
        <v>'dayHref' : 'tourdivide16.html',</v>
      </c>
      <c r="B321" t="s">
        <v>146</v>
      </c>
      <c r="C321" t="s">
        <v>545</v>
      </c>
    </row>
    <row r="322" spans="1:3">
      <c r="A322" t="str">
        <f t="shared" ref="A322" si="30">"'"&amp;B322&amp;"' : '"&amp;C322&amp;"'"</f>
        <v>'dayImg' : '../img/tourdivide/day16/day16pic00.JPG'</v>
      </c>
      <c r="B322" t="s">
        <v>151</v>
      </c>
      <c r="C322" t="s">
        <v>586</v>
      </c>
    </row>
    <row r="326" spans="1:3">
      <c r="A326" t="str">
        <f t="shared" ref="A326:A327" si="31">"'"&amp;B326&amp;"' : '"&amp;C326&amp;"',"</f>
        <v>'dayid' : ' Day 17',</v>
      </c>
      <c r="B326" t="s">
        <v>145</v>
      </c>
      <c r="C326" t="s">
        <v>510</v>
      </c>
    </row>
    <row r="327" spans="1:3">
      <c r="A327" t="str">
        <f t="shared" si="31"/>
        <v>'dayHref' : 'tourdivide17.html',</v>
      </c>
      <c r="B327" t="s">
        <v>146</v>
      </c>
      <c r="C327" t="s">
        <v>546</v>
      </c>
    </row>
    <row r="329" spans="1:3">
      <c r="A329" t="str">
        <f>"'"&amp;B329&amp;"' : '"&amp;C329&amp;"',"</f>
        <v>'h2PostTitle' : 'Day 17 - Grand Teton NP in AM, Togwotee in PM',</v>
      </c>
      <c r="B329" t="s">
        <v>147</v>
      </c>
      <c r="C329" t="s">
        <v>359</v>
      </c>
    </row>
    <row r="332" spans="1:3">
      <c r="A332" t="str">
        <f>"'"&amp;B332&amp;"' : '"&amp;C332&amp;"',"</f>
        <v>'h3SubTitle' : 'Lost tourists and finding hidden lakes',</v>
      </c>
      <c r="B332" t="s">
        <v>148</v>
      </c>
      <c r="C332" t="s">
        <v>360</v>
      </c>
    </row>
    <row r="336" spans="1:3">
      <c r="A336" t="str">
        <f>"'"&amp;B336&amp;"' : '"&amp;C336&amp;"',"</f>
        <v>'pPostMeta' : 'Thursday, June 25, 2015 Flagg Ranch to Lava Mountain Lodge, WY',</v>
      </c>
      <c r="B336" t="s">
        <v>149</v>
      </c>
      <c r="C336" t="s">
        <v>361</v>
      </c>
    </row>
    <row r="339" spans="1:3">
      <c r="A339" t="str">
        <f>"'"&amp;B339&amp;"' : '"&amp;C339&amp;"',"</f>
        <v>'h4DateStats' : '08:14 AM, 61.8mi, 4,042ft of climbing',</v>
      </c>
      <c r="B339" t="s">
        <v>150</v>
      </c>
      <c r="C339" t="s">
        <v>362</v>
      </c>
    </row>
    <row r="341" spans="1:3">
      <c r="A341" t="str">
        <f>"'"&amp;B341&amp;"' : '"&amp;C341&amp;"',"</f>
        <v>'dayHref' : 'tourdivide17.html',</v>
      </c>
      <c r="B341" t="s">
        <v>146</v>
      </c>
      <c r="C341" t="s">
        <v>546</v>
      </c>
    </row>
    <row r="342" spans="1:3">
      <c r="A342" t="str">
        <f t="shared" ref="A342" si="32">"'"&amp;B342&amp;"' : '"&amp;C342&amp;"'"</f>
        <v>'dayImg' : '../img/tourdivide/day17/day17pic00.jpg'</v>
      </c>
      <c r="B342" t="s">
        <v>151</v>
      </c>
      <c r="C342" t="s">
        <v>587</v>
      </c>
    </row>
    <row r="346" spans="1:3">
      <c r="A346" t="str">
        <f t="shared" ref="A346:A347" si="33">"'"&amp;B346&amp;"' : '"&amp;C346&amp;"',"</f>
        <v>'dayid' : ' Day 18',</v>
      </c>
      <c r="B346" t="s">
        <v>145</v>
      </c>
      <c r="C346" t="s">
        <v>511</v>
      </c>
    </row>
    <row r="347" spans="1:3">
      <c r="A347" t="str">
        <f t="shared" si="33"/>
        <v>'dayHref' : 'tourdivide18.html',</v>
      </c>
      <c r="B347" t="s">
        <v>146</v>
      </c>
      <c r="C347" t="s">
        <v>547</v>
      </c>
    </row>
    <row r="349" spans="1:3">
      <c r="A349" t="str">
        <f>"'"&amp;B349&amp;"' : '"&amp;C349&amp;"',"</f>
        <v>'h2PostTitle' : 'Day 18 - Union Pass only better',</v>
      </c>
      <c r="B349" t="s">
        <v>147</v>
      </c>
      <c r="C349" t="s">
        <v>363</v>
      </c>
    </row>
    <row r="352" spans="1:3">
      <c r="A352" t="str">
        <f>"'"&amp;B352&amp;"' : '"&amp;C352&amp;"',"</f>
        <v>'h3SubTitle' : 'The Devil's Hole Trail and riding the divide',</v>
      </c>
      <c r="B352" t="s">
        <v>148</v>
      </c>
      <c r="C352" t="s">
        <v>364</v>
      </c>
    </row>
    <row r="356" spans="1:3">
      <c r="A356" t="str">
        <f>"'"&amp;B356&amp;"' : '"&amp;C356&amp;"',"</f>
        <v>'pPostMeta' : 'Friday, June 26, 2015 Lava Mountain Lodge to Pinedale, WY',</v>
      </c>
      <c r="B356" t="s">
        <v>149</v>
      </c>
      <c r="C356" t="s">
        <v>365</v>
      </c>
    </row>
    <row r="359" spans="1:3">
      <c r="A359" t="str">
        <f>"'"&amp;B359&amp;"' : '"&amp;C359&amp;"',"</f>
        <v>'h4DateStats' : '6:24 AM 82.6mi 4,157ft of climbing',</v>
      </c>
      <c r="B359" t="s">
        <v>150</v>
      </c>
      <c r="C359" t="s">
        <v>366</v>
      </c>
    </row>
    <row r="361" spans="1:3">
      <c r="A361" t="str">
        <f>"'"&amp;B361&amp;"' : '"&amp;C361&amp;"',"</f>
        <v>'dayHref' : 'tourdivide18.html#',</v>
      </c>
      <c r="B361" t="s">
        <v>146</v>
      </c>
      <c r="C361" t="s">
        <v>548</v>
      </c>
    </row>
    <row r="362" spans="1:3">
      <c r="A362" t="str">
        <f t="shared" ref="A362" si="34">"'"&amp;B362&amp;"' : '"&amp;C362&amp;"'"</f>
        <v>'dayImg' : '../img/tourdivide/day18/day18pic00.JPG'</v>
      </c>
      <c r="B362" t="s">
        <v>151</v>
      </c>
      <c r="C362" t="s">
        <v>588</v>
      </c>
    </row>
    <row r="366" spans="1:3">
      <c r="A366" t="str">
        <f t="shared" ref="A366:A367" si="35">"'"&amp;B366&amp;"' : '"&amp;C366&amp;"',"</f>
        <v>'dayid' : ' Day 19',</v>
      </c>
      <c r="B366" t="s">
        <v>145</v>
      </c>
      <c r="C366" t="s">
        <v>512</v>
      </c>
    </row>
    <row r="367" spans="1:3">
      <c r="A367" t="str">
        <f t="shared" si="35"/>
        <v>'dayHref' : 'tourdivide19.html',</v>
      </c>
      <c r="B367" t="s">
        <v>146</v>
      </c>
      <c r="C367" t="s">
        <v>549</v>
      </c>
    </row>
    <row r="369" spans="1:3">
      <c r="A369" t="str">
        <f>"'"&amp;B369&amp;"' : '"&amp;C369&amp;"',"</f>
        <v>'h2PostTitle' : 'Day 19 - Wyoming - after the mountains',</v>
      </c>
      <c r="B369" t="s">
        <v>147</v>
      </c>
      <c r="C369" t="s">
        <v>367</v>
      </c>
    </row>
    <row r="372" spans="1:3">
      <c r="A372" t="str">
        <f>"'"&amp;B372&amp;"' : '"&amp;C372&amp;"',"</f>
        <v>'h3SubTitle' : 'A long, hot day in the desert',</v>
      </c>
      <c r="B372" t="s">
        <v>148</v>
      </c>
      <c r="C372" t="s">
        <v>368</v>
      </c>
    </row>
    <row r="376" spans="1:3">
      <c r="A376" t="str">
        <f>"'"&amp;B376&amp;"' : '"&amp;C376&amp;"',"</f>
        <v>'pPostMeta' : 'Saturday, June 27, 2015 Pinedale to Atlantic City, WY',</v>
      </c>
      <c r="B376" t="s">
        <v>149</v>
      </c>
      <c r="C376" t="s">
        <v>369</v>
      </c>
    </row>
    <row r="379" spans="1:3">
      <c r="A379" t="str">
        <f>"'"&amp;B379&amp;"' : '"&amp;C379&amp;"',"</f>
        <v>'h4DateStats' : '07:52 AM, 87.7mi, 3,560ft of climbing',</v>
      </c>
      <c r="B379" t="s">
        <v>150</v>
      </c>
      <c r="C379" t="s">
        <v>370</v>
      </c>
    </row>
    <row r="381" spans="1:3">
      <c r="A381" t="str">
        <f>"'"&amp;B381&amp;"' : '"&amp;C381&amp;"',"</f>
        <v>'dayHref' : 'tourdivide19.html',</v>
      </c>
      <c r="B381" t="s">
        <v>146</v>
      </c>
      <c r="C381" t="s">
        <v>549</v>
      </c>
    </row>
    <row r="382" spans="1:3">
      <c r="A382" t="str">
        <f t="shared" ref="A382" si="36">"'"&amp;B382&amp;"' : '"&amp;C382&amp;"'"</f>
        <v>'dayImg' : '../img/tourdivide/day19/day19pic05d.JPG'</v>
      </c>
      <c r="B382" t="s">
        <v>151</v>
      </c>
      <c r="C382" t="s">
        <v>589</v>
      </c>
    </row>
    <row r="386" spans="1:3">
      <c r="A386" t="str">
        <f t="shared" ref="A386:A387" si="37">"'"&amp;B386&amp;"' : '"&amp;C386&amp;"',"</f>
        <v>'dayid' : ' Day 20',</v>
      </c>
      <c r="B386" t="s">
        <v>145</v>
      </c>
      <c r="C386" t="s">
        <v>513</v>
      </c>
    </row>
    <row r="387" spans="1:3">
      <c r="A387" t="str">
        <f t="shared" si="37"/>
        <v>'dayHref' : 'tourdivide20.html',</v>
      </c>
      <c r="B387" t="s">
        <v>146</v>
      </c>
      <c r="C387" t="s">
        <v>550</v>
      </c>
    </row>
    <row r="389" spans="1:3">
      <c r="A389" t="str">
        <f>"'"&amp;B389&amp;"' : '"&amp;C389&amp;"',"</f>
        <v>'h2PostTitle' : 'Day 20 - Another long day in Wyoming's Great Basin',</v>
      </c>
      <c r="B389" t="s">
        <v>147</v>
      </c>
      <c r="C389" t="s">
        <v>371</v>
      </c>
    </row>
    <row r="392" spans="1:3">
      <c r="A392" t="str">
        <f>"'"&amp;B392&amp;"' : '"&amp;C392&amp;"',"</f>
        <v>'h3SubTitle' : 'Water supply and disappearing jeep trails',</v>
      </c>
      <c r="B392" t="s">
        <v>148</v>
      </c>
      <c r="C392" t="s">
        <v>372</v>
      </c>
    </row>
    <row r="396" spans="1:3">
      <c r="A396" t="str">
        <f>"'"&amp;B396&amp;"' : '"&amp;C396&amp;"',"</f>
        <v>'pPostMeta' : 'Sunday, June 28, 2015 Atlantic City to Wamsutter, WY',</v>
      </c>
      <c r="B396" t="s">
        <v>149</v>
      </c>
      <c r="C396" t="s">
        <v>373</v>
      </c>
    </row>
    <row r="399" spans="1:3">
      <c r="A399" t="str">
        <f>"'"&amp;B399&amp;"' : '"&amp;C399&amp;"',"</f>
        <v>'h4DateStats' : '07:15 AM, 97.9mi, 2,712ft of climbing',</v>
      </c>
      <c r="B399" t="s">
        <v>150</v>
      </c>
      <c r="C399" t="s">
        <v>374</v>
      </c>
    </row>
    <row r="401" spans="1:3">
      <c r="A401" t="str">
        <f>"'"&amp;B401&amp;"' : '"&amp;C401&amp;"',"</f>
        <v>'dayHref' : 'tourdivide20.html#',</v>
      </c>
      <c r="B401" t="s">
        <v>146</v>
      </c>
      <c r="C401" t="s">
        <v>551</v>
      </c>
    </row>
    <row r="402" spans="1:3">
      <c r="A402" t="str">
        <f t="shared" ref="A402" si="38">"'"&amp;B402&amp;"' : '"&amp;C402&amp;"'"</f>
        <v>'dayImg' : '../img/tourdivide/day20/day20pic00.JPG'</v>
      </c>
      <c r="B402" t="s">
        <v>151</v>
      </c>
      <c r="C402" t="s">
        <v>590</v>
      </c>
    </row>
    <row r="406" spans="1:3">
      <c r="A406" t="str">
        <f t="shared" ref="A406:A407" si="39">"'"&amp;B406&amp;"' : '"&amp;C406&amp;"',"</f>
        <v>'dayid' : ' Day 21',</v>
      </c>
      <c r="B406" t="s">
        <v>145</v>
      </c>
      <c r="C406" t="s">
        <v>514</v>
      </c>
    </row>
    <row r="407" spans="1:3">
      <c r="A407" t="str">
        <f t="shared" si="39"/>
        <v>'dayHref' : 'tourdivide21.html',</v>
      </c>
      <c r="B407" t="s">
        <v>146</v>
      </c>
      <c r="C407" t="s">
        <v>552</v>
      </c>
    </row>
    <row r="409" spans="1:3">
      <c r="A409" t="str">
        <f>"'"&amp;B409&amp;"' : '"&amp;C409&amp;"',"</f>
        <v>'h2PostTitle' : 'Day 21 - Brush Mountain Lodge',</v>
      </c>
      <c r="B409" t="s">
        <v>147</v>
      </c>
      <c r="C409" t="s">
        <v>375</v>
      </c>
    </row>
    <row r="412" spans="1:3">
      <c r="A412" t="str">
        <f>"'"&amp;B412&amp;"' : '"&amp;C412&amp;"',"</f>
        <v>'h3SubTitle' : 'My birthday in a slice of heaven',</v>
      </c>
      <c r="B412" t="s">
        <v>148</v>
      </c>
      <c r="C412" t="s">
        <v>376</v>
      </c>
    </row>
    <row r="416" spans="1:3">
      <c r="A416" t="str">
        <f>"'"&amp;B416&amp;"' : '"&amp;C416&amp;"',"</f>
        <v>'pPostMeta' : 'Monday, June 29, 2015 - Wamsutter, WY to Brush Mtn Lodge, CO',</v>
      </c>
      <c r="B416" t="s">
        <v>149</v>
      </c>
      <c r="C416" t="s">
        <v>377</v>
      </c>
    </row>
    <row r="419" spans="1:3">
      <c r="A419" t="str">
        <f>"'"&amp;B419&amp;"' : '"&amp;C419&amp;"',"</f>
        <v>'h4DateStats' : '7:06 AM 81.9mi 3,928ft of climbing',</v>
      </c>
      <c r="B419" t="s">
        <v>150</v>
      </c>
      <c r="C419" t="s">
        <v>378</v>
      </c>
    </row>
    <row r="421" spans="1:3">
      <c r="A421" t="str">
        <f>"'"&amp;B421&amp;"' : '"&amp;C421&amp;"',"</f>
        <v>'dayHref' : 'tourdivide21.html',</v>
      </c>
      <c r="B421" t="s">
        <v>146</v>
      </c>
      <c r="C421" t="s">
        <v>552</v>
      </c>
    </row>
    <row r="422" spans="1:3">
      <c r="A422" t="str">
        <f t="shared" ref="A422" si="40">"'"&amp;B422&amp;"' : '"&amp;C422&amp;"'"</f>
        <v>'dayImg' : '../img/tourdivide/day21/day21pic10.JPG'</v>
      </c>
      <c r="B422" t="s">
        <v>151</v>
      </c>
      <c r="C422" t="s">
        <v>591</v>
      </c>
    </row>
    <row r="426" spans="1:3">
      <c r="A426" t="str">
        <f t="shared" ref="A426:A427" si="41">"'"&amp;B426&amp;"' : '"&amp;C426&amp;"',"</f>
        <v>'dayid' : ' Day 22',</v>
      </c>
      <c r="B426" t="s">
        <v>145</v>
      </c>
      <c r="C426" t="s">
        <v>515</v>
      </c>
    </row>
    <row r="427" spans="1:3">
      <c r="A427" t="str">
        <f t="shared" si="41"/>
        <v>'dayHref' : 'tourdivide22.html',</v>
      </c>
      <c r="B427" t="s">
        <v>146</v>
      </c>
      <c r="C427" t="s">
        <v>553</v>
      </c>
    </row>
    <row r="429" spans="1:3">
      <c r="A429" t="str">
        <f>"'"&amp;B429&amp;"' : '"&amp;C429&amp;"',"</f>
        <v>'h2PostTitle' : 'Day 22 - Colorado Mountains',</v>
      </c>
      <c r="B429" t="s">
        <v>147</v>
      </c>
      <c r="C429" t="s">
        <v>379</v>
      </c>
    </row>
    <row r="432" spans="1:3">
      <c r="A432" t="str">
        <f>"'"&amp;B432&amp;"' : '"&amp;C432&amp;"',"</f>
        <v>'h3SubTitle' : 'Long steady climbs and descents',</v>
      </c>
      <c r="B432" t="s">
        <v>148</v>
      </c>
      <c r="C432" t="s">
        <v>380</v>
      </c>
    </row>
    <row r="436" spans="1:3">
      <c r="A436" t="str">
        <f>"'"&amp;B436&amp;"' : '"&amp;C436&amp;"',"</f>
        <v>'pPostMeta' : 'Tuesday, June 30, 2015 Brush Mountain Lodge to Steamboat Springs, CO',</v>
      </c>
      <c r="B436" t="s">
        <v>149</v>
      </c>
      <c r="C436" t="s">
        <v>381</v>
      </c>
    </row>
    <row r="439" spans="1:3">
      <c r="A439" t="str">
        <f>"'"&amp;B439&amp;"' : '"&amp;C439&amp;"',"</f>
        <v>'h4DateStats' : '07:55 AM, 50.5mi, 3,220ft of climbing',</v>
      </c>
      <c r="B439" t="s">
        <v>150</v>
      </c>
      <c r="C439" t="s">
        <v>382</v>
      </c>
    </row>
    <row r="441" spans="1:3">
      <c r="A441" t="str">
        <f>"'"&amp;B441&amp;"' : '"&amp;C441&amp;"',"</f>
        <v>'dayHref' : 'tourdivide22.html',</v>
      </c>
      <c r="B441" t="s">
        <v>146</v>
      </c>
      <c r="C441" t="s">
        <v>553</v>
      </c>
    </row>
    <row r="442" spans="1:3">
      <c r="A442" t="str">
        <f t="shared" ref="A442" si="42">"'"&amp;B442&amp;"' : '"&amp;C442&amp;"'"</f>
        <v>'dayImg' : '../img/tourdivide/day22/day22pic00.JPG'</v>
      </c>
      <c r="B442" t="s">
        <v>151</v>
      </c>
      <c r="C442" t="s">
        <v>592</v>
      </c>
    </row>
    <row r="446" spans="1:3">
      <c r="A446" t="str">
        <f t="shared" ref="A446:A447" si="43">"'"&amp;B446&amp;"' : '"&amp;C446&amp;"',"</f>
        <v>'dayid' : ' Day 23',</v>
      </c>
      <c r="B446" t="s">
        <v>145</v>
      </c>
      <c r="C446" t="s">
        <v>516</v>
      </c>
    </row>
    <row r="447" spans="1:3">
      <c r="A447" t="str">
        <f t="shared" si="43"/>
        <v>'dayHref' : 'tourdivide23.html',</v>
      </c>
      <c r="B447" t="s">
        <v>146</v>
      </c>
      <c r="C447" t="s">
        <v>554</v>
      </c>
    </row>
    <row r="449" spans="1:3">
      <c r="A449" t="str">
        <f>"'"&amp;B449&amp;"' : '"&amp;C449&amp;"',"</f>
        <v>'h2PostTitle' : 'Day 23 - A long day out on the road',</v>
      </c>
      <c r="B449" t="s">
        <v>147</v>
      </c>
      <c r="C449" t="s">
        <v>383</v>
      </c>
    </row>
    <row r="452" spans="1:3">
      <c r="A452" t="str">
        <f>"'"&amp;B452&amp;"' : '"&amp;C452&amp;"',"</f>
        <v>'h3SubTitle' : 'A giant coast into Kremmling and mind games',</v>
      </c>
      <c r="B452" t="s">
        <v>148</v>
      </c>
      <c r="C452" t="s">
        <v>384</v>
      </c>
    </row>
    <row r="456" spans="1:3">
      <c r="A456" t="str">
        <f>"'"&amp;B456&amp;"' : '"&amp;C456&amp;"',"</f>
        <v>'pPostMeta' : 'Wednesday, July 1, 2015 Steamboat Springs to Dillon, CO',</v>
      </c>
      <c r="B456" t="s">
        <v>149</v>
      </c>
      <c r="C456" t="s">
        <v>385</v>
      </c>
    </row>
    <row r="459" spans="1:3">
      <c r="A459" t="str">
        <f>"'"&amp;B459&amp;"' : '"&amp;C459&amp;"',"</f>
        <v>'h4DateStats' : '06:55 AM, 108.7mi, 6,441ft of climbing',</v>
      </c>
      <c r="B459" t="s">
        <v>150</v>
      </c>
      <c r="C459" t="s">
        <v>386</v>
      </c>
    </row>
    <row r="461" spans="1:3">
      <c r="A461" t="str">
        <f>"'"&amp;B461&amp;"' : '"&amp;C461&amp;"',"</f>
        <v>'dayHref' : 'tourdivide23.html',</v>
      </c>
      <c r="B461" t="s">
        <v>146</v>
      </c>
      <c r="C461" t="s">
        <v>554</v>
      </c>
    </row>
    <row r="462" spans="1:3">
      <c r="A462" t="str">
        <f t="shared" ref="A462" si="44">"'"&amp;B462&amp;"' : '"&amp;C462&amp;"'"</f>
        <v>'dayImg' : '../img/tourdivide/day23/day23pic00.JPG'</v>
      </c>
      <c r="B462" t="s">
        <v>151</v>
      </c>
      <c r="C462" t="s">
        <v>593</v>
      </c>
    </row>
    <row r="466" spans="1:3">
      <c r="A466" t="str">
        <f t="shared" ref="A466:A467" si="45">"'"&amp;B466&amp;"' : '"&amp;C466&amp;"',"</f>
        <v>'dayid' : ' Day 24',</v>
      </c>
      <c r="B466" t="s">
        <v>145</v>
      </c>
      <c r="C466" t="s">
        <v>517</v>
      </c>
    </row>
    <row r="467" spans="1:3">
      <c r="A467" t="str">
        <f t="shared" si="45"/>
        <v>'dayHref' : 'tourdivide24.html',</v>
      </c>
      <c r="B467" t="s">
        <v>146</v>
      </c>
      <c r="C467" t="s">
        <v>555</v>
      </c>
    </row>
    <row r="469" spans="1:3">
      <c r="A469" t="str">
        <f>"'"&amp;B469&amp;"' : '"&amp;C469&amp;"',"</f>
        <v>'h2PostTitle' : 'Day 24 - Dillon Reservoir, Breckenridge and Boreas Pass',</v>
      </c>
      <c r="B469" t="s">
        <v>147</v>
      </c>
      <c r="C469" t="s">
        <v>387</v>
      </c>
    </row>
    <row r="472" spans="1:3">
      <c r="A472" t="str">
        <f>"'"&amp;B472&amp;"' : '"&amp;C472&amp;"',"</f>
        <v>'h3SubTitle' : 'Highest pass on my tour',</v>
      </c>
      <c r="B472" t="s">
        <v>148</v>
      </c>
      <c r="C472" t="s">
        <v>388</v>
      </c>
    </row>
    <row r="476" spans="1:3">
      <c r="A476" t="str">
        <f>"'"&amp;B476&amp;"' : '"&amp;C476&amp;"',"</f>
        <v>'pPostMeta' : 'Thursday, July 2, 2015 Dillon to Hartsel, CO&lt;/p',</v>
      </c>
      <c r="B476" t="s">
        <v>149</v>
      </c>
      <c r="C476" t="s">
        <v>556</v>
      </c>
    </row>
    <row r="478" spans="1:3">
      <c r="A478" t="str">
        <f>"'"&amp;B478&amp;"' : '"&amp;C478&amp;"',"</f>
        <v>'h4DateStats' : '7:00 AM 68.0mi 3,507ft of climbing',</v>
      </c>
      <c r="B478" t="s">
        <v>150</v>
      </c>
      <c r="C478" t="s">
        <v>389</v>
      </c>
    </row>
    <row r="480" spans="1:3">
      <c r="A480" t="str">
        <f>"'"&amp;B480&amp;"' : '"&amp;C480&amp;"',"</f>
        <v>'dayHref' : 'tourdivide24.html',</v>
      </c>
      <c r="B480" t="s">
        <v>146</v>
      </c>
      <c r="C480" t="s">
        <v>555</v>
      </c>
    </row>
    <row r="481" spans="1:3">
      <c r="A481" t="str">
        <f t="shared" ref="A481" si="46">"'"&amp;B481&amp;"' : '"&amp;C481&amp;"'"</f>
        <v>'dayImg' : '../img/tourdivide/day24/day24pic0401.JPG'</v>
      </c>
      <c r="B481" t="s">
        <v>151</v>
      </c>
      <c r="C481" t="s">
        <v>594</v>
      </c>
    </row>
    <row r="484" spans="1:3">
      <c r="A484" t="str">
        <f t="shared" ref="A484:A485" si="47">"'"&amp;B484&amp;"' : '"&amp;C484&amp;"',"</f>
        <v>'dayid' : ' Day 25',</v>
      </c>
      <c r="B484" t="s">
        <v>145</v>
      </c>
      <c r="C484" t="s">
        <v>518</v>
      </c>
    </row>
    <row r="485" spans="1:3">
      <c r="A485" t="str">
        <f t="shared" si="47"/>
        <v>'dayHref' : 'tourdivide25.html',</v>
      </c>
      <c r="B485" t="s">
        <v>146</v>
      </c>
      <c r="C485" t="s">
        <v>557</v>
      </c>
    </row>
    <row r="487" spans="1:3">
      <c r="A487" t="str">
        <f>"'"&amp;B487&amp;"' : '"&amp;C487&amp;"',"</f>
        <v>'h2PostTitle' : 'Day 25 - July weather',</v>
      </c>
      <c r="B487" t="s">
        <v>147</v>
      </c>
      <c r="C487" t="s">
        <v>390</v>
      </c>
    </row>
    <row r="490" spans="1:3">
      <c r="A490" t="str">
        <f>"'"&amp;B490&amp;"' : '"&amp;C490&amp;"',"</f>
        <v>'h3SubTitle' : 'More afternoon rains and washboard roads',</v>
      </c>
      <c r="B490" t="s">
        <v>148</v>
      </c>
      <c r="C490" t="s">
        <v>391</v>
      </c>
    </row>
    <row r="494" spans="1:3">
      <c r="A494" t="str">
        <f>"'"&amp;B494&amp;"' : '"&amp;C494&amp;"',"</f>
        <v>'pPostMeta' : 'Friday, July 3, 2015 Hartsel to Salida, CO',</v>
      </c>
      <c r="B494" t="s">
        <v>149</v>
      </c>
      <c r="C494" t="s">
        <v>392</v>
      </c>
    </row>
    <row r="497" spans="1:3">
      <c r="A497" t="str">
        <f>"'"&amp;B497&amp;"' : '"&amp;C497&amp;"',"</f>
        <v>'h4DateStats' : '7:51 AM 48.4mi 2,300ft of climbing',</v>
      </c>
      <c r="B497" t="s">
        <v>150</v>
      </c>
      <c r="C497" t="s">
        <v>393</v>
      </c>
    </row>
    <row r="499" spans="1:3">
      <c r="A499" t="str">
        <f>"'"&amp;B499&amp;"' : '"&amp;C499&amp;"',"</f>
        <v>'dayHref' : 'tourdivide25.html',</v>
      </c>
      <c r="B499" t="s">
        <v>146</v>
      </c>
      <c r="C499" t="s">
        <v>557</v>
      </c>
    </row>
    <row r="500" spans="1:3">
      <c r="A500" t="str">
        <f t="shared" ref="A500" si="48">"'"&amp;B500&amp;"' : '"&amp;C500&amp;"'"</f>
        <v>'dayImg' : '../img/tourdivide/day25/day25pic02.JPG'</v>
      </c>
      <c r="B500" t="s">
        <v>151</v>
      </c>
      <c r="C500" t="s">
        <v>595</v>
      </c>
    </row>
    <row r="503" spans="1:3">
      <c r="A503" t="str">
        <f t="shared" ref="A503:A504" si="49">"'"&amp;B503&amp;"' : '"&amp;C503&amp;"',"</f>
        <v>'dayid' : ' Day 26',</v>
      </c>
      <c r="B503" t="s">
        <v>145</v>
      </c>
      <c r="C503" t="s">
        <v>519</v>
      </c>
    </row>
    <row r="504" spans="1:3">
      <c r="A504" t="str">
        <f t="shared" si="49"/>
        <v>'dayHref' : 'tourdivide26.html',</v>
      </c>
      <c r="B504" t="s">
        <v>146</v>
      </c>
      <c r="C504" t="s">
        <v>558</v>
      </c>
    </row>
    <row r="506" spans="1:3">
      <c r="A506" t="str">
        <f>"'"&amp;B506&amp;"' : '"&amp;C506&amp;"',"</f>
        <v>'h2PostTitle' : 'Day 26 - Marshall Pass and the Colorado Trail',</v>
      </c>
      <c r="B506" t="s">
        <v>147</v>
      </c>
      <c r="C506" t="s">
        <v>394</v>
      </c>
    </row>
    <row r="509" spans="1:3">
      <c r="A509" t="str">
        <f>"'"&amp;B509&amp;"' : '"&amp;C509&amp;"',"</f>
        <v>'h3SubTitle' : 'Teepees, Rain and the 4th of July',</v>
      </c>
      <c r="B509" t="s">
        <v>148</v>
      </c>
      <c r="C509" t="s">
        <v>395</v>
      </c>
    </row>
    <row r="513" spans="1:3">
      <c r="A513" t="str">
        <f>"'"&amp;B513&amp;"' : '"&amp;C513&amp;"',"</f>
        <v>'pPostMeta' : 'Saturday, July 4, 2015 Salida to Sargents, CO',</v>
      </c>
      <c r="B513" t="s">
        <v>149</v>
      </c>
      <c r="C513" t="s">
        <v>396</v>
      </c>
    </row>
    <row r="516" spans="1:3">
      <c r="A516" t="str">
        <f>"'"&amp;B516&amp;"' : '"&amp;C516&amp;"',"</f>
        <v>'h4DateStats' : '07:30 AM, 46.4mi, 4,382ft of climbing',</v>
      </c>
      <c r="B516" t="s">
        <v>150</v>
      </c>
      <c r="C516" t="s">
        <v>397</v>
      </c>
    </row>
    <row r="518" spans="1:3">
      <c r="A518" t="str">
        <f>"'"&amp;B518&amp;"' : '"&amp;C518&amp;"',"</f>
        <v>'dayHref' : 'tourdivide26.html',</v>
      </c>
      <c r="B518" t="s">
        <v>146</v>
      </c>
      <c r="C518" t="s">
        <v>558</v>
      </c>
    </row>
    <row r="519" spans="1:3">
      <c r="A519" t="str">
        <f t="shared" ref="A519" si="50">"'"&amp;B519&amp;"' : '"&amp;C519&amp;"'"</f>
        <v>'dayImg' : '../img/tourdivide/day26/day26pic00.JPG'</v>
      </c>
      <c r="B519" t="s">
        <v>151</v>
      </c>
      <c r="C519" t="s">
        <v>596</v>
      </c>
    </row>
    <row r="522" spans="1:3">
      <c r="A522" t="str">
        <f t="shared" ref="A522:A523" si="51">"'"&amp;B522&amp;"' : '"&amp;C522&amp;"',"</f>
        <v>'dayid' : ' Day 27',</v>
      </c>
      <c r="B522" t="s">
        <v>145</v>
      </c>
      <c r="C522" t="s">
        <v>520</v>
      </c>
    </row>
    <row r="523" spans="1:3">
      <c r="A523" t="str">
        <f t="shared" si="51"/>
        <v>'dayHref' : 'tourdivide27.html',</v>
      </c>
      <c r="B523" t="s">
        <v>146</v>
      </c>
      <c r="C523" t="s">
        <v>559</v>
      </c>
    </row>
    <row r="525" spans="1:3">
      <c r="A525" t="str">
        <f>"'"&amp;B525&amp;"' : '"&amp;C525&amp;"',"</f>
        <v>'h2PostTitle' : 'Day 27 - Lighting and Thunder in the afternoon',</v>
      </c>
      <c r="B525" t="s">
        <v>147</v>
      </c>
      <c r="C525" t="s">
        <v>398</v>
      </c>
    </row>
    <row r="528" spans="1:3">
      <c r="A528" t="str">
        <f>"'"&amp;B528&amp;"' : '"&amp;C528&amp;"',"</f>
        <v>'h3SubTitle' : 'Two passes and outrunning the rain',</v>
      </c>
      <c r="B528" t="s">
        <v>148</v>
      </c>
      <c r="C528" t="s">
        <v>399</v>
      </c>
    </row>
    <row r="532" spans="1:3">
      <c r="A532" t="str">
        <f>"'"&amp;B532&amp;"' : '"&amp;C532&amp;"',"</f>
        <v>'pPostMeta' : 'Sunday, July 5, 2015 Sargents to Del Norte, CO',</v>
      </c>
      <c r="B532" t="s">
        <v>149</v>
      </c>
      <c r="C532" t="s">
        <v>400</v>
      </c>
    </row>
    <row r="535" spans="1:3">
      <c r="A535" t="str">
        <f>"'"&amp;B535&amp;"' : '"&amp;C535&amp;"',"</f>
        <v>'h4DateStats' : '07:49 AM, 101.0mi, 5,182ft of climbing',</v>
      </c>
      <c r="B535" t="s">
        <v>150</v>
      </c>
      <c r="C535" t="s">
        <v>401</v>
      </c>
    </row>
    <row r="537" spans="1:3">
      <c r="A537" t="str">
        <f>"'"&amp;B537&amp;"' : '"&amp;C537&amp;"',"</f>
        <v>'dayHref' : 'tourdivide27.html',</v>
      </c>
      <c r="B537" t="s">
        <v>146</v>
      </c>
      <c r="C537" t="s">
        <v>559</v>
      </c>
    </row>
    <row r="538" spans="1:3">
      <c r="A538" t="str">
        <f t="shared" ref="A538" si="52">"'"&amp;B538&amp;"' : '"&amp;C538&amp;"'"</f>
        <v>'dayImg' : '../img/tourdivide/day27/day27pic02.JPG'</v>
      </c>
      <c r="B538" t="s">
        <v>151</v>
      </c>
      <c r="C538" t="s">
        <v>597</v>
      </c>
    </row>
    <row r="541" spans="1:3">
      <c r="A541" t="str">
        <f t="shared" ref="A541:A542" si="53">"'"&amp;B541&amp;"' : '"&amp;C541&amp;"',"</f>
        <v>'dayid' : ' Day 28',</v>
      </c>
      <c r="B541" t="s">
        <v>145</v>
      </c>
      <c r="C541" t="s">
        <v>521</v>
      </c>
    </row>
    <row r="542" spans="1:3">
      <c r="A542" t="str">
        <f t="shared" si="53"/>
        <v>'dayHref' : 'tourdivide28.html',</v>
      </c>
      <c r="B542" t="s">
        <v>146</v>
      </c>
      <c r="C542" t="s">
        <v>560</v>
      </c>
    </row>
    <row r="544" spans="1:3">
      <c r="A544" t="str">
        <f>"'"&amp;B544&amp;"' : '"&amp;C544&amp;"',"</f>
        <v>'h2PostTitle' : 'Day 28 - Getting some rest and plotting my course',</v>
      </c>
      <c r="B544" t="s">
        <v>147</v>
      </c>
      <c r="C544" t="s">
        <v>402</v>
      </c>
    </row>
    <row r="547" spans="1:3">
      <c r="A547" t="str">
        <f>"'"&amp;B547&amp;"' : '"&amp;C547&amp;"',"</f>
        <v>'h3SubTitle' : 'The Library, Amish Cinnamon Rolls and Wild Boar',</v>
      </c>
      <c r="B547" t="s">
        <v>148</v>
      </c>
      <c r="C547" t="s">
        <v>403</v>
      </c>
    </row>
    <row r="551" spans="1:3">
      <c r="A551" t="str">
        <f>"'"&amp;B551&amp;"' : '"&amp;C551&amp;"',"</f>
        <v>'pPostMeta' : 'Monday, July 6, 2015 Del Norte',</v>
      </c>
      <c r="B551" t="s">
        <v>149</v>
      </c>
      <c r="C551" t="s">
        <v>404</v>
      </c>
    </row>
    <row r="554" spans="1:3">
      <c r="A554" t="str">
        <f>"'"&amp;B554&amp;"' : '"&amp;C554&amp;"',"</f>
        <v>'h4DateStats' : 'Sleeping in at the Windsor Hotel - zero ft of climbing',</v>
      </c>
      <c r="B554" t="s">
        <v>150</v>
      </c>
      <c r="C554" t="s">
        <v>405</v>
      </c>
    </row>
    <row r="556" spans="1:3">
      <c r="A556" t="str">
        <f>"'"&amp;B556&amp;"' : '"&amp;C556&amp;"',"</f>
        <v>'dayHref' : 'tourdivide28.html',</v>
      </c>
      <c r="B556" t="s">
        <v>146</v>
      </c>
      <c r="C556" t="s">
        <v>560</v>
      </c>
    </row>
    <row r="557" spans="1:3">
      <c r="A557" t="str">
        <f t="shared" ref="A557" si="54">"'"&amp;B557&amp;"' : '"&amp;C557&amp;"'"</f>
        <v>'dayImg' : '../img/tourdivide/day28/day28pic00.JPG'</v>
      </c>
      <c r="B557" t="s">
        <v>151</v>
      </c>
      <c r="C557" t="s">
        <v>598</v>
      </c>
    </row>
    <row r="560" spans="1:3">
      <c r="A560" t="str">
        <f t="shared" ref="A560:A561" si="55">"'"&amp;B560&amp;"' : '"&amp;C560&amp;"',"</f>
        <v>'dayid' : ' Day 29',</v>
      </c>
      <c r="B560" t="s">
        <v>145</v>
      </c>
      <c r="C560" t="s">
        <v>522</v>
      </c>
    </row>
    <row r="561" spans="1:3">
      <c r="A561" t="str">
        <f t="shared" si="55"/>
        <v>'dayHref' : 'tourdivide29.html',</v>
      </c>
      <c r="B561" t="s">
        <v>146</v>
      </c>
      <c r="C561" t="s">
        <v>561</v>
      </c>
    </row>
    <row r="563" spans="1:3">
      <c r="A563" t="str">
        <f>"'"&amp;B563&amp;"' : '"&amp;C563&amp;"',"</f>
        <v>'h2PostTitle' : 'Day 29 - A tough call to avoid thunderstorms',</v>
      </c>
      <c r="B563" t="s">
        <v>147</v>
      </c>
      <c r="C563" t="s">
        <v>406</v>
      </c>
    </row>
    <row r="566" spans="1:3">
      <c r="A566" t="str">
        <f>"'"&amp;B566&amp;"' : '"&amp;C566&amp;"',"</f>
        <v>'h3SubTitle' : 'Riding in the rain',</v>
      </c>
      <c r="B566" t="s">
        <v>148</v>
      </c>
      <c r="C566" t="s">
        <v>407</v>
      </c>
    </row>
    <row r="570" spans="1:3">
      <c r="A570" t="str">
        <f>"'"&amp;B570&amp;"' : '"&amp;C570&amp;"',"</f>
        <v>'pPostMeta' : 'Tuesday, July 7, 2015 DelNorte to Antonito, CO',</v>
      </c>
      <c r="B570" t="s">
        <v>149</v>
      </c>
      <c r="C570" t="s">
        <v>408</v>
      </c>
    </row>
    <row r="573" spans="1:3">
      <c r="A573" t="str">
        <f>"'"&amp;B573&amp;"' : '"&amp;C573&amp;"',"</f>
        <v>'h4DateStats' : '7:03am, 67.4 miles, 1,887ft of climbing',</v>
      </c>
      <c r="B573" t="s">
        <v>150</v>
      </c>
      <c r="C573" t="s">
        <v>409</v>
      </c>
    </row>
    <row r="575" spans="1:3">
      <c r="A575" t="str">
        <f>"'"&amp;B575&amp;"' : '"&amp;C575&amp;"',"</f>
        <v>'dayHref' : 'tourdivide29.html',</v>
      </c>
      <c r="B575" t="s">
        <v>146</v>
      </c>
      <c r="C575" t="s">
        <v>561</v>
      </c>
    </row>
    <row r="576" spans="1:3">
      <c r="A576" t="str">
        <f t="shared" ref="A576" si="56">"'"&amp;B576&amp;"' : '"&amp;C576&amp;"'"</f>
        <v>'dayImg' : '../img/tourdivide/day29/day29pic11.JPG'</v>
      </c>
      <c r="B576" t="s">
        <v>151</v>
      </c>
      <c r="C576" t="s">
        <v>599</v>
      </c>
    </row>
    <row r="580" spans="1:3">
      <c r="A580" t="str">
        <f t="shared" ref="A580:A581" si="57">"'"&amp;B580&amp;"' : '"&amp;C580&amp;"',"</f>
        <v>'dayid' : ' Day 30',</v>
      </c>
      <c r="B580" t="s">
        <v>145</v>
      </c>
      <c r="C580" t="s">
        <v>523</v>
      </c>
    </row>
    <row r="581" spans="1:3">
      <c r="A581" t="str">
        <f t="shared" si="57"/>
        <v>'dayHref' : 'tourdivide30.html',</v>
      </c>
      <c r="B581" t="s">
        <v>146</v>
      </c>
      <c r="C581" t="s">
        <v>562</v>
      </c>
    </row>
    <row r="583" spans="1:3">
      <c r="A583" t="str">
        <f>"'"&amp;B583&amp;"' : '"&amp;C583&amp;"',"</f>
        <v>'h2PostTitle' : 'Day 30 - Entering the final state',</v>
      </c>
      <c r="B583" t="s">
        <v>147</v>
      </c>
      <c r="C583" t="s">
        <v>410</v>
      </c>
    </row>
    <row r="586" spans="1:3">
      <c r="A586" t="str">
        <f>"'"&amp;B586&amp;"' : '"&amp;C586&amp;"',"</f>
        <v>'h3SubTitle' : 'Dum spelled backward',</v>
      </c>
      <c r="B586" t="s">
        <v>148</v>
      </c>
      <c r="C586" t="s">
        <v>411</v>
      </c>
    </row>
    <row r="590" spans="1:3">
      <c r="A590" t="str">
        <f>"'"&amp;B590&amp;"' : '"&amp;C590&amp;"',"</f>
        <v>'pPostMeta' : 'Wednesday, July 8, 2015 Antonito, CO to Abiquiu, NM',</v>
      </c>
      <c r="B590" t="s">
        <v>149</v>
      </c>
      <c r="C590" t="s">
        <v>412</v>
      </c>
    </row>
    <row r="593" spans="1:3">
      <c r="A593" t="str">
        <f>"'"&amp;B593&amp;"' : '"&amp;C593&amp;"',"</f>
        <v>'h4DateStats' : '06:58 AM, 87.1mi, 1,887ft',</v>
      </c>
      <c r="B593" t="s">
        <v>150</v>
      </c>
      <c r="C593" t="s">
        <v>413</v>
      </c>
    </row>
    <row r="595" spans="1:3">
      <c r="A595" t="str">
        <f>"'"&amp;B595&amp;"' : '"&amp;C595&amp;"',"</f>
        <v>'dayHref' : 'tourdivide30.html',</v>
      </c>
      <c r="B595" t="s">
        <v>146</v>
      </c>
      <c r="C595" t="s">
        <v>562</v>
      </c>
    </row>
    <row r="596" spans="1:3">
      <c r="A596" t="str">
        <f t="shared" ref="A596" si="58">"'"&amp;B596&amp;"' : '"&amp;C596&amp;"'"</f>
        <v>'dayImg' : '../img/tourdivide/day30/day30pic12.JPG'</v>
      </c>
      <c r="B596" t="s">
        <v>151</v>
      </c>
      <c r="C596" t="s">
        <v>600</v>
      </c>
    </row>
    <row r="600" spans="1:3">
      <c r="A600" t="str">
        <f t="shared" ref="A600:A601" si="59">"'"&amp;B600&amp;"' : '"&amp;C600&amp;"',"</f>
        <v>'dayid' : ' Day 31',</v>
      </c>
      <c r="B600" t="s">
        <v>145</v>
      </c>
      <c r="C600" t="s">
        <v>524</v>
      </c>
    </row>
    <row r="601" spans="1:3">
      <c r="A601" t="str">
        <f t="shared" si="59"/>
        <v>'dayHref' : 'tourdivide31.html',</v>
      </c>
      <c r="B601" t="s">
        <v>146</v>
      </c>
      <c r="C601" t="s">
        <v>563</v>
      </c>
    </row>
    <row r="603" spans="1:3">
      <c r="A603" t="str">
        <f>"'"&amp;B603&amp;"' : '"&amp;C603&amp;"',"</f>
        <v>'h2PostTitle' : 'Day 31 - Abiquiu Reservoir and more desert',</v>
      </c>
      <c r="B603" t="s">
        <v>147</v>
      </c>
      <c r="C603" t="s">
        <v>414</v>
      </c>
    </row>
    <row r="606" spans="1:3">
      <c r="A606" t="str">
        <f>"'"&amp;B606&amp;"' : '"&amp;C606&amp;"',"</f>
        <v>'h3SubTitle' : 'On the Road. Avoiding the mud.',</v>
      </c>
      <c r="B606" t="s">
        <v>148</v>
      </c>
      <c r="C606" t="s">
        <v>415</v>
      </c>
    </row>
    <row r="610" spans="1:3">
      <c r="A610" t="str">
        <f>"'"&amp;B610&amp;"' : '"&amp;C610&amp;"',"</f>
        <v>'pPostMeta' : 'Thursday, July 9, 2015 Abiquiu to Cuba',</v>
      </c>
      <c r="B610" t="s">
        <v>149</v>
      </c>
      <c r="C610" t="s">
        <v>416</v>
      </c>
    </row>
    <row r="613" spans="1:3">
      <c r="A613" t="str">
        <f>"'"&amp;B613&amp;"' : '"&amp;C613&amp;"',"</f>
        <v>'h4DateStats' : '06:50 AM, 61.4mi, 3,804ft',</v>
      </c>
      <c r="B613" t="s">
        <v>150</v>
      </c>
      <c r="C613" t="s">
        <v>417</v>
      </c>
    </row>
    <row r="615" spans="1:3">
      <c r="A615" t="str">
        <f>"'"&amp;B615&amp;"' : '"&amp;C615&amp;"',"</f>
        <v>'dayHref' : 'tourdivide31.html',</v>
      </c>
      <c r="B615" t="s">
        <v>146</v>
      </c>
      <c r="C615" t="s">
        <v>563</v>
      </c>
    </row>
    <row r="616" spans="1:3">
      <c r="A616" t="str">
        <f t="shared" ref="A616" si="60">"'"&amp;B616&amp;"' : '"&amp;C616&amp;"'"</f>
        <v>'dayImg' : '../img/tourdivide/day31/day31pic06.JPG'</v>
      </c>
      <c r="B616" t="s">
        <v>151</v>
      </c>
      <c r="C616" t="s">
        <v>601</v>
      </c>
    </row>
    <row r="620" spans="1:3">
      <c r="A620" t="str">
        <f t="shared" ref="A620:A621" si="61">"'"&amp;B620&amp;"' : '"&amp;C620&amp;"',"</f>
        <v>'dayid' : ' Day 32',</v>
      </c>
      <c r="B620" t="s">
        <v>145</v>
      </c>
      <c r="C620" t="s">
        <v>525</v>
      </c>
    </row>
    <row r="621" spans="1:3">
      <c r="A621" t="str">
        <f t="shared" si="61"/>
        <v>'dayHref' : 'tourdivide32.html',</v>
      </c>
      <c r="B621" t="s">
        <v>146</v>
      </c>
      <c r="C621" t="s">
        <v>564</v>
      </c>
    </row>
    <row r="623" spans="1:3">
      <c r="A623" t="str">
        <f>"'"&amp;B623&amp;"' : '"&amp;C623&amp;"',"</f>
        <v>'h2PostTitle' : 'Day 32 - Long day with an assist',</v>
      </c>
      <c r="B623" t="s">
        <v>147</v>
      </c>
      <c r="C623" t="s">
        <v>418</v>
      </c>
    </row>
    <row r="626" spans="1:3">
      <c r="A626" t="str">
        <f>"'"&amp;B626&amp;"' : '"&amp;C626&amp;"',"</f>
        <v>'h3SubTitle' : 'Rain, wind and desert',</v>
      </c>
      <c r="B626" t="s">
        <v>148</v>
      </c>
      <c r="C626" t="s">
        <v>419</v>
      </c>
    </row>
    <row r="630" spans="1:3">
      <c r="A630" t="str">
        <f>"'"&amp;B630&amp;"' : '"&amp;C630&amp;"',"</f>
        <v>'pPostMeta' : 'Friday, July 10, 2015 Cuba to Grants, NM',</v>
      </c>
      <c r="B630" t="s">
        <v>149</v>
      </c>
      <c r="C630" t="s">
        <v>420</v>
      </c>
    </row>
    <row r="633" spans="1:3">
      <c r="A633" t="str">
        <f>"'"&amp;B633&amp;"' : '"&amp;C633&amp;"',"</f>
        <v>'h4DateStats' : '05:53 AM, 121.8mi, 3,670ft',</v>
      </c>
      <c r="B633" t="s">
        <v>150</v>
      </c>
      <c r="C633" t="s">
        <v>421</v>
      </c>
    </row>
    <row r="635" spans="1:3">
      <c r="A635" t="str">
        <f>"'"&amp;B635&amp;"' : '"&amp;C635&amp;"',"</f>
        <v>'dayHref' : 'tourdivide32.html#',</v>
      </c>
      <c r="B635" t="s">
        <v>146</v>
      </c>
      <c r="C635" t="s">
        <v>565</v>
      </c>
    </row>
    <row r="636" spans="1:3">
      <c r="A636" t="str">
        <f t="shared" ref="A636" si="62">"'"&amp;B636&amp;"' : '"&amp;C636&amp;"'"</f>
        <v>'dayImg' : '../img/tourdivide/day32/day32pic02.JPG'</v>
      </c>
      <c r="B636" t="s">
        <v>151</v>
      </c>
      <c r="C636" t="s">
        <v>602</v>
      </c>
    </row>
    <row r="640" spans="1:3">
      <c r="A640" t="str">
        <f t="shared" ref="A640:A641" si="63">"'"&amp;B640&amp;"' : '"&amp;C640&amp;"',"</f>
        <v>'dayid' : ' Day 33',</v>
      </c>
      <c r="B640" t="s">
        <v>145</v>
      </c>
      <c r="C640" t="s">
        <v>526</v>
      </c>
    </row>
    <row r="641" spans="1:3">
      <c r="A641" t="str">
        <f t="shared" si="63"/>
        <v>'dayHref' : 'tourdivide33.html',</v>
      </c>
      <c r="B641" t="s">
        <v>146</v>
      </c>
      <c r="C641" t="s">
        <v>566</v>
      </c>
    </row>
    <row r="643" spans="1:3">
      <c r="A643" t="str">
        <f>"'"&amp;B643&amp;"' : '"&amp;C643&amp;"',"</f>
        <v>'h2PostTitle' : 'Day 33 - El Malpais National Monument',</v>
      </c>
      <c r="B643" t="s">
        <v>147</v>
      </c>
      <c r="C643" t="s">
        <v>422</v>
      </c>
    </row>
    <row r="646" spans="1:3">
      <c r="A646" t="str">
        <f>"'"&amp;B646&amp;"' : '"&amp;C646&amp;"',"</f>
        <v>'h3SubTitle' : 'Morning riding and snakes on the bed',</v>
      </c>
      <c r="B646" t="s">
        <v>148</v>
      </c>
      <c r="C646" t="s">
        <v>423</v>
      </c>
    </row>
    <row r="650" spans="1:3">
      <c r="A650" t="str">
        <f>"'"&amp;B650&amp;"' : '"&amp;C650&amp;"',"</f>
        <v>'pPostMeta' : 'Saturday, July 11, 2015 Grants to Quemado, NM',</v>
      </c>
      <c r="B650" t="s">
        <v>149</v>
      </c>
      <c r="C650" t="s">
        <v>424</v>
      </c>
    </row>
    <row r="653" spans="1:3">
      <c r="A653" t="str">
        <f>"'"&amp;B653&amp;"' : '"&amp;C653&amp;"',"</f>
        <v>'h4DateStats' : '06:06 AM, 85.6mi, 2,083ft',</v>
      </c>
      <c r="B653" t="s">
        <v>150</v>
      </c>
      <c r="C653" t="s">
        <v>425</v>
      </c>
    </row>
    <row r="655" spans="1:3">
      <c r="A655" t="str">
        <f>"'"&amp;B655&amp;"' : '"&amp;C655&amp;"',"</f>
        <v>'dayHref' : 'tourdivide33.html',</v>
      </c>
      <c r="B655" t="s">
        <v>146</v>
      </c>
      <c r="C655" t="s">
        <v>566</v>
      </c>
    </row>
    <row r="656" spans="1:3">
      <c r="A656" t="str">
        <f t="shared" ref="A656" si="64">"'"&amp;B656&amp;"' : '"&amp;C656&amp;"'"</f>
        <v>'dayImg' : '../img/tourdivide/day33/day33pic00.jpg'</v>
      </c>
      <c r="B656" t="s">
        <v>151</v>
      </c>
      <c r="C656" t="s">
        <v>603</v>
      </c>
    </row>
    <row r="660" spans="1:3">
      <c r="A660" t="str">
        <f t="shared" ref="A660:A661" si="65">"'"&amp;B660&amp;"' : '"&amp;C660&amp;"',"</f>
        <v>'dayid' : ' Day 34',</v>
      </c>
      <c r="B660" t="s">
        <v>145</v>
      </c>
      <c r="C660" t="s">
        <v>527</v>
      </c>
    </row>
    <row r="661" spans="1:3">
      <c r="A661" t="str">
        <f t="shared" si="65"/>
        <v>'dayHref' : 'tourdivide34.html',</v>
      </c>
      <c r="B661" t="s">
        <v>146</v>
      </c>
      <c r="C661" t="s">
        <v>567</v>
      </c>
    </row>
    <row r="663" spans="1:3">
      <c r="A663" t="str">
        <f>"'"&amp;B663&amp;"' : '"&amp;C663&amp;"',"</f>
        <v>'h2PostTitle' : 'Day 34 - The Afternoon Wind Switch',</v>
      </c>
      <c r="B663" t="s">
        <v>147</v>
      </c>
      <c r="C663" t="s">
        <v>426</v>
      </c>
    </row>
    <row r="666" spans="1:3">
      <c r="A666" t="str">
        <f>"'"&amp;B666&amp;"' : '"&amp;C666&amp;"',"</f>
        <v>'h3SubTitle' : 'Apache Creek, Reserve and an extra 30 miles',</v>
      </c>
      <c r="B666" t="s">
        <v>148</v>
      </c>
      <c r="C666" t="s">
        <v>427</v>
      </c>
    </row>
    <row r="670" spans="1:3">
      <c r="A670" t="str">
        <f>"'"&amp;B670&amp;"' : '"&amp;C670&amp;"',"</f>
        <v>'pPostMeta' : 'Sunday, July 12, 2015 Quemado to Glenwood, NM',</v>
      </c>
      <c r="B670" t="s">
        <v>149</v>
      </c>
      <c r="C670" t="s">
        <v>428</v>
      </c>
    </row>
    <row r="673" spans="1:3">
      <c r="A673" t="str">
        <f>"'"&amp;B673&amp;"' : '"&amp;C673&amp;"',"</f>
        <v>'h4DateStats' : '05:42 AM, 90.3mi, 3,360ft',</v>
      </c>
      <c r="B673" t="s">
        <v>150</v>
      </c>
      <c r="C673" t="s">
        <v>429</v>
      </c>
    </row>
    <row r="675" spans="1:3">
      <c r="A675" t="str">
        <f>"'"&amp;B675&amp;"' : '"&amp;C675&amp;"',"</f>
        <v>'dayHref' : 'tourdivide34.html#',</v>
      </c>
      <c r="B675" t="s">
        <v>146</v>
      </c>
      <c r="C675" t="s">
        <v>568</v>
      </c>
    </row>
    <row r="676" spans="1:3">
      <c r="A676" t="str">
        <f t="shared" ref="A676" si="66">"'"&amp;B676&amp;"' : '"&amp;C676&amp;"'"</f>
        <v>'dayImg' : '../img/tourdivide/day34/day34pic07.JPG'</v>
      </c>
      <c r="B676" t="s">
        <v>151</v>
      </c>
      <c r="C676" t="s">
        <v>604</v>
      </c>
    </row>
    <row r="680" spans="1:3">
      <c r="A680" t="str">
        <f t="shared" ref="A680:A681" si="67">"'"&amp;B680&amp;"' : '"&amp;C680&amp;"',"</f>
        <v>'dayid' : ' Day 35',</v>
      </c>
      <c r="B680" t="s">
        <v>145</v>
      </c>
      <c r="C680" t="s">
        <v>528</v>
      </c>
    </row>
    <row r="681" spans="1:3">
      <c r="A681" t="str">
        <f t="shared" si="67"/>
        <v>'dayHref' : 'tourdivide35.html',</v>
      </c>
      <c r="B681" t="s">
        <v>146</v>
      </c>
      <c r="C681" t="s">
        <v>569</v>
      </c>
    </row>
    <row r="683" spans="1:3">
      <c r="A683" t="str">
        <f>"'"&amp;B683&amp;"' : '"&amp;C683&amp;"',"</f>
        <v>'h2PostTitle' : 'Day 35 - On to Silver City',</v>
      </c>
      <c r="B683" t="s">
        <v>147</v>
      </c>
      <c r="C683" t="s">
        <v>430</v>
      </c>
    </row>
    <row r="686" spans="1:3">
      <c r="A686" t="str">
        <f>"'"&amp;B686&amp;"' : '"&amp;C686&amp;"',"</f>
        <v>'h3SubTitle' : 'The last divide crossing, really',</v>
      </c>
      <c r="B686" t="s">
        <v>148</v>
      </c>
      <c r="C686" t="s">
        <v>431</v>
      </c>
    </row>
    <row r="690" spans="1:3">
      <c r="A690" t="str">
        <f>"'"&amp;B690&amp;"' : '"&amp;C690&amp;"',"</f>
        <v>'pPostMeta' : 'Monday, July 13, 2015 Glenwood to Silver City, NM',</v>
      </c>
      <c r="B690" t="s">
        <v>149</v>
      </c>
      <c r="C690" t="s">
        <v>432</v>
      </c>
    </row>
    <row r="693" spans="1:3">
      <c r="A693" t="str">
        <f>"'"&amp;B693&amp;"' : '"&amp;C693&amp;"',"</f>
        <v>'h4DateStats' : '6:08 AM, 63.8mi, 3,625ft',</v>
      </c>
      <c r="B693" t="s">
        <v>150</v>
      </c>
      <c r="C693" t="s">
        <v>433</v>
      </c>
    </row>
    <row r="695" spans="1:3">
      <c r="A695" t="str">
        <f>"'"&amp;B695&amp;"' : '"&amp;C695&amp;"',"</f>
        <v>'dayHref' : 'tourdivide35.html',</v>
      </c>
      <c r="B695" t="s">
        <v>146</v>
      </c>
      <c r="C695" t="s">
        <v>569</v>
      </c>
    </row>
    <row r="696" spans="1:3">
      <c r="A696" t="str">
        <f t="shared" ref="A696" si="68">"'"&amp;B696&amp;"' : '"&amp;C696&amp;"'"</f>
        <v>'dayImg' : '../img/tourdivide/day35/day35pic02.JPG'</v>
      </c>
      <c r="B696" t="s">
        <v>151</v>
      </c>
      <c r="C696" t="s">
        <v>605</v>
      </c>
    </row>
    <row r="699" spans="1:3">
      <c r="A699" t="str">
        <f t="shared" ref="A699:A700" si="69">"'"&amp;B699&amp;"' : '"&amp;C699&amp;"',"</f>
        <v>'dayid' : ' Day 36',</v>
      </c>
      <c r="B699" t="s">
        <v>145</v>
      </c>
      <c r="C699" t="s">
        <v>529</v>
      </c>
    </row>
    <row r="700" spans="1:3">
      <c r="A700" t="str">
        <f t="shared" si="69"/>
        <v>'dayHref' : 'tourdivide36.html',</v>
      </c>
      <c r="B700" t="s">
        <v>146</v>
      </c>
      <c r="C700" t="s">
        <v>570</v>
      </c>
    </row>
    <row r="702" spans="1:3">
      <c r="A702" t="str">
        <f>"'"&amp;B702&amp;"' : '"&amp;C702&amp;"',"</f>
        <v>'h2PostTitle' : 'Day 36 - No more days',</v>
      </c>
      <c r="B702" t="s">
        <v>147</v>
      </c>
      <c r="C702" t="s">
        <v>434</v>
      </c>
    </row>
    <row r="705" spans="1:3">
      <c r="A705" t="str">
        <f>"'"&amp;B705&amp;"' : '"&amp;C705&amp;"',"</f>
        <v>'h3SubTitle' : 'It's all downhill from here',</v>
      </c>
      <c r="B705" t="s">
        <v>148</v>
      </c>
      <c r="C705" t="s">
        <v>435</v>
      </c>
    </row>
    <row r="709" spans="1:3">
      <c r="A709" t="str">
        <f>"'"&amp;B709&amp;"' : '"&amp;C709&amp;"',"</f>
        <v>'pPostMeta' : 'Tuesday, July 14, 2015 Silver City, NM to Palomas, Mexico',</v>
      </c>
      <c r="B709" t="s">
        <v>149</v>
      </c>
      <c r="C709" t="s">
        <v>436</v>
      </c>
    </row>
    <row r="712" spans="1:3">
      <c r="A712" t="str">
        <f>"'"&amp;B712&amp;"' : '"&amp;C712&amp;"',"</f>
        <v>'h4DateStats' : '6:28 AM, 6h 5m, 87.1mi, 507ft',</v>
      </c>
      <c r="B712" t="s">
        <v>150</v>
      </c>
      <c r="C712" t="s">
        <v>437</v>
      </c>
    </row>
    <row r="714" spans="1:3">
      <c r="A714" t="str">
        <f>"'"&amp;B714&amp;"' : '"&amp;C714&amp;"',"</f>
        <v>'dayHref' : 'tourdivide36.html',</v>
      </c>
      <c r="B714" t="s">
        <v>146</v>
      </c>
      <c r="C714" t="s">
        <v>570</v>
      </c>
    </row>
    <row r="715" spans="1:3">
      <c r="A715" t="str">
        <f t="shared" ref="A715" si="70">"'"&amp;B715&amp;"' : '"&amp;C715&amp;"'"</f>
        <v>'dayImg' : '../img/tourdivide/day36/day36pic08.JPG'</v>
      </c>
      <c r="B715" t="s">
        <v>151</v>
      </c>
      <c r="C715" t="s">
        <v>606</v>
      </c>
    </row>
    <row r="719" spans="1:3">
      <c r="A719" t="s">
        <v>644</v>
      </c>
    </row>
    <row r="720" spans="1:3">
      <c r="A720" t="s">
        <v>645</v>
      </c>
    </row>
    <row r="721" spans="1:1">
      <c r="A721" t="s">
        <v>646</v>
      </c>
    </row>
    <row r="722" spans="1:1">
      <c r="A722" t="s">
        <v>647</v>
      </c>
    </row>
    <row r="723" spans="1:1">
      <c r="A723" t="s">
        <v>648</v>
      </c>
    </row>
    <row r="724" spans="1:1">
      <c r="A724" t="s">
        <v>649</v>
      </c>
    </row>
    <row r="725" spans="1:1">
      <c r="A725" t="s">
        <v>645</v>
      </c>
    </row>
    <row r="726" spans="1:1">
      <c r="A726" t="s">
        <v>608</v>
      </c>
    </row>
    <row r="727" spans="1:1">
      <c r="A727" t="s">
        <v>650</v>
      </c>
    </row>
    <row r="728" spans="1:1">
      <c r="A728" t="s">
        <v>651</v>
      </c>
    </row>
    <row r="729" spans="1:1">
      <c r="A729" t="s">
        <v>652</v>
      </c>
    </row>
    <row r="730" spans="1:1">
      <c r="A730" t="s">
        <v>653</v>
      </c>
    </row>
    <row r="731" spans="1:1">
      <c r="A731" t="s">
        <v>654</v>
      </c>
    </row>
    <row r="732" spans="1:1">
      <c r="A732" t="s">
        <v>655</v>
      </c>
    </row>
    <row r="733" spans="1:1">
      <c r="A733" t="s">
        <v>651</v>
      </c>
    </row>
    <row r="734" spans="1:1">
      <c r="A734" t="s">
        <v>609</v>
      </c>
    </row>
    <row r="735" spans="1:1">
      <c r="A735" t="s">
        <v>656</v>
      </c>
    </row>
    <row r="736" spans="1:1">
      <c r="A736" t="s">
        <v>657</v>
      </c>
    </row>
    <row r="737" spans="1:1">
      <c r="A737" t="s">
        <v>658</v>
      </c>
    </row>
    <row r="738" spans="1:1">
      <c r="A738" t="s">
        <v>659</v>
      </c>
    </row>
    <row r="739" spans="1:1">
      <c r="A739" t="s">
        <v>660</v>
      </c>
    </row>
    <row r="740" spans="1:1">
      <c r="A740" t="s">
        <v>661</v>
      </c>
    </row>
    <row r="741" spans="1:1">
      <c r="A741" t="s">
        <v>657</v>
      </c>
    </row>
    <row r="742" spans="1:1">
      <c r="A742" t="s">
        <v>610</v>
      </c>
    </row>
    <row r="743" spans="1:1">
      <c r="A743" t="s">
        <v>662</v>
      </c>
    </row>
    <row r="744" spans="1:1">
      <c r="A744" t="s">
        <v>663</v>
      </c>
    </row>
    <row r="745" spans="1:1">
      <c r="A745" t="s">
        <v>664</v>
      </c>
    </row>
    <row r="746" spans="1:1">
      <c r="A746" t="s">
        <v>665</v>
      </c>
    </row>
    <row r="747" spans="1:1">
      <c r="A747" t="s">
        <v>666</v>
      </c>
    </row>
    <row r="748" spans="1:1">
      <c r="A748" t="s">
        <v>667</v>
      </c>
    </row>
    <row r="749" spans="1:1">
      <c r="A749" t="s">
        <v>663</v>
      </c>
    </row>
    <row r="750" spans="1:1">
      <c r="A750" t="s">
        <v>611</v>
      </c>
    </row>
    <row r="751" spans="1:1">
      <c r="A751" t="s">
        <v>668</v>
      </c>
    </row>
    <row r="752" spans="1:1">
      <c r="A752" t="s">
        <v>669</v>
      </c>
    </row>
    <row r="753" spans="1:1">
      <c r="A753" t="s">
        <v>670</v>
      </c>
    </row>
    <row r="754" spans="1:1">
      <c r="A754" t="s">
        <v>671</v>
      </c>
    </row>
    <row r="755" spans="1:1">
      <c r="A755" t="s">
        <v>672</v>
      </c>
    </row>
    <row r="756" spans="1:1">
      <c r="A756" t="s">
        <v>673</v>
      </c>
    </row>
    <row r="757" spans="1:1">
      <c r="A757" t="s">
        <v>669</v>
      </c>
    </row>
    <row r="758" spans="1:1">
      <c r="A758" t="s">
        <v>612</v>
      </c>
    </row>
    <row r="759" spans="1:1">
      <c r="A759" t="s">
        <v>674</v>
      </c>
    </row>
    <row r="760" spans="1:1">
      <c r="A760" t="s">
        <v>675</v>
      </c>
    </row>
    <row r="761" spans="1:1">
      <c r="A761" t="s">
        <v>676</v>
      </c>
    </row>
    <row r="762" spans="1:1">
      <c r="A762" t="s">
        <v>677</v>
      </c>
    </row>
    <row r="763" spans="1:1">
      <c r="A763" t="s">
        <v>678</v>
      </c>
    </row>
    <row r="764" spans="1:1">
      <c r="A764" t="s">
        <v>679</v>
      </c>
    </row>
    <row r="765" spans="1:1">
      <c r="A765" t="s">
        <v>675</v>
      </c>
    </row>
    <row r="766" spans="1:1">
      <c r="A766" t="s">
        <v>613</v>
      </c>
    </row>
    <row r="767" spans="1:1">
      <c r="A767" t="s">
        <v>680</v>
      </c>
    </row>
    <row r="768" spans="1:1">
      <c r="A768" t="s">
        <v>681</v>
      </c>
    </row>
    <row r="769" spans="1:1">
      <c r="A769" t="s">
        <v>682</v>
      </c>
    </row>
    <row r="770" spans="1:1">
      <c r="A770" t="s">
        <v>683</v>
      </c>
    </row>
    <row r="771" spans="1:1">
      <c r="A771" t="s">
        <v>684</v>
      </c>
    </row>
    <row r="772" spans="1:1">
      <c r="A772" t="s">
        <v>685</v>
      </c>
    </row>
    <row r="773" spans="1:1">
      <c r="A773" t="s">
        <v>681</v>
      </c>
    </row>
    <row r="774" spans="1:1">
      <c r="A774" t="s">
        <v>614</v>
      </c>
    </row>
    <row r="775" spans="1:1">
      <c r="A775" t="s">
        <v>686</v>
      </c>
    </row>
    <row r="776" spans="1:1">
      <c r="A776" t="s">
        <v>687</v>
      </c>
    </row>
    <row r="777" spans="1:1">
      <c r="A777" t="s">
        <v>688</v>
      </c>
    </row>
    <row r="778" spans="1:1">
      <c r="A778" t="s">
        <v>689</v>
      </c>
    </row>
    <row r="779" spans="1:1">
      <c r="A779" t="s">
        <v>690</v>
      </c>
    </row>
    <row r="780" spans="1:1">
      <c r="A780" t="s">
        <v>691</v>
      </c>
    </row>
    <row r="781" spans="1:1">
      <c r="A781" t="s">
        <v>687</v>
      </c>
    </row>
    <row r="782" spans="1:1">
      <c r="A782" t="s">
        <v>615</v>
      </c>
    </row>
    <row r="783" spans="1:1">
      <c r="A783" t="s">
        <v>692</v>
      </c>
    </row>
    <row r="784" spans="1:1">
      <c r="A784" t="s">
        <v>693</v>
      </c>
    </row>
    <row r="785" spans="1:1">
      <c r="A785" t="s">
        <v>694</v>
      </c>
    </row>
    <row r="786" spans="1:1">
      <c r="A786" t="s">
        <v>695</v>
      </c>
    </row>
    <row r="787" spans="1:1">
      <c r="A787" t="s">
        <v>696</v>
      </c>
    </row>
    <row r="788" spans="1:1">
      <c r="A788" t="s">
        <v>697</v>
      </c>
    </row>
    <row r="789" spans="1:1">
      <c r="A789" t="s">
        <v>693</v>
      </c>
    </row>
    <row r="790" spans="1:1">
      <c r="A790" t="s">
        <v>616</v>
      </c>
    </row>
    <row r="791" spans="1:1">
      <c r="A791" t="s">
        <v>698</v>
      </c>
    </row>
    <row r="792" spans="1:1">
      <c r="A792" t="s">
        <v>699</v>
      </c>
    </row>
    <row r="793" spans="1:1">
      <c r="A793" t="s">
        <v>700</v>
      </c>
    </row>
    <row r="794" spans="1:1">
      <c r="A794" t="s">
        <v>701</v>
      </c>
    </row>
    <row r="795" spans="1:1">
      <c r="A795" t="s">
        <v>702</v>
      </c>
    </row>
    <row r="796" spans="1:1">
      <c r="A796" t="s">
        <v>703</v>
      </c>
    </row>
    <row r="797" spans="1:1">
      <c r="A797" t="s">
        <v>699</v>
      </c>
    </row>
    <row r="798" spans="1:1">
      <c r="A798" t="s">
        <v>617</v>
      </c>
    </row>
    <row r="799" spans="1:1">
      <c r="A799" t="s">
        <v>704</v>
      </c>
    </row>
    <row r="800" spans="1:1">
      <c r="A800" t="s">
        <v>705</v>
      </c>
    </row>
    <row r="801" spans="1:1">
      <c r="A801" t="s">
        <v>706</v>
      </c>
    </row>
    <row r="802" spans="1:1">
      <c r="A802" t="s">
        <v>707</v>
      </c>
    </row>
    <row r="803" spans="1:1">
      <c r="A803" t="s">
        <v>708</v>
      </c>
    </row>
    <row r="804" spans="1:1">
      <c r="A804" t="s">
        <v>709</v>
      </c>
    </row>
    <row r="805" spans="1:1">
      <c r="A805" t="s">
        <v>705</v>
      </c>
    </row>
    <row r="806" spans="1:1">
      <c r="A806" t="s">
        <v>618</v>
      </c>
    </row>
    <row r="807" spans="1:1">
      <c r="A807" t="s">
        <v>710</v>
      </c>
    </row>
    <row r="808" spans="1:1">
      <c r="A808" t="s">
        <v>711</v>
      </c>
    </row>
    <row r="809" spans="1:1">
      <c r="A809" t="s">
        <v>712</v>
      </c>
    </row>
    <row r="810" spans="1:1">
      <c r="A810" t="s">
        <v>713</v>
      </c>
    </row>
    <row r="811" spans="1:1">
      <c r="A811" t="s">
        <v>714</v>
      </c>
    </row>
    <row r="812" spans="1:1">
      <c r="A812" t="s">
        <v>715</v>
      </c>
    </row>
    <row r="813" spans="1:1">
      <c r="A813" t="s">
        <v>711</v>
      </c>
    </row>
    <row r="814" spans="1:1">
      <c r="A814" t="s">
        <v>619</v>
      </c>
    </row>
    <row r="815" spans="1:1">
      <c r="A815" t="s">
        <v>716</v>
      </c>
    </row>
    <row r="816" spans="1:1">
      <c r="A816" t="s">
        <v>717</v>
      </c>
    </row>
    <row r="817" spans="1:1">
      <c r="A817" t="s">
        <v>718</v>
      </c>
    </row>
    <row r="818" spans="1:1">
      <c r="A818" t="s">
        <v>719</v>
      </c>
    </row>
    <row r="819" spans="1:1">
      <c r="A819" t="s">
        <v>720</v>
      </c>
    </row>
    <row r="820" spans="1:1">
      <c r="A820" t="s">
        <v>721</v>
      </c>
    </row>
    <row r="821" spans="1:1">
      <c r="A821" t="s">
        <v>717</v>
      </c>
    </row>
    <row r="822" spans="1:1">
      <c r="A822" t="s">
        <v>620</v>
      </c>
    </row>
    <row r="823" spans="1:1">
      <c r="A823" t="s">
        <v>722</v>
      </c>
    </row>
    <row r="824" spans="1:1">
      <c r="A824" t="s">
        <v>723</v>
      </c>
    </row>
    <row r="825" spans="1:1">
      <c r="A825" t="s">
        <v>724</v>
      </c>
    </row>
    <row r="826" spans="1:1">
      <c r="A826" t="s">
        <v>725</v>
      </c>
    </row>
    <row r="827" spans="1:1">
      <c r="A827" t="s">
        <v>726</v>
      </c>
    </row>
    <row r="828" spans="1:1">
      <c r="A828" t="s">
        <v>727</v>
      </c>
    </row>
    <row r="829" spans="1:1">
      <c r="A829" t="s">
        <v>723</v>
      </c>
    </row>
    <row r="830" spans="1:1">
      <c r="A830" t="s">
        <v>621</v>
      </c>
    </row>
    <row r="831" spans="1:1">
      <c r="A831" t="s">
        <v>728</v>
      </c>
    </row>
    <row r="832" spans="1:1">
      <c r="A832" t="s">
        <v>729</v>
      </c>
    </row>
    <row r="833" spans="1:1">
      <c r="A833" t="s">
        <v>730</v>
      </c>
    </row>
    <row r="834" spans="1:1">
      <c r="A834" t="s">
        <v>731</v>
      </c>
    </row>
    <row r="835" spans="1:1">
      <c r="A835" t="s">
        <v>732</v>
      </c>
    </row>
    <row r="836" spans="1:1">
      <c r="A836" t="s">
        <v>733</v>
      </c>
    </row>
    <row r="837" spans="1:1">
      <c r="A837" t="s">
        <v>729</v>
      </c>
    </row>
    <row r="838" spans="1:1">
      <c r="A838" t="s">
        <v>622</v>
      </c>
    </row>
    <row r="839" spans="1:1">
      <c r="A839" t="s">
        <v>734</v>
      </c>
    </row>
    <row r="840" spans="1:1">
      <c r="A840" t="s">
        <v>735</v>
      </c>
    </row>
    <row r="841" spans="1:1">
      <c r="A841" t="s">
        <v>736</v>
      </c>
    </row>
    <row r="842" spans="1:1">
      <c r="A842" t="s">
        <v>737</v>
      </c>
    </row>
    <row r="843" spans="1:1">
      <c r="A843" t="s">
        <v>738</v>
      </c>
    </row>
    <row r="844" spans="1:1">
      <c r="A844" t="s">
        <v>739</v>
      </c>
    </row>
    <row r="845" spans="1:1">
      <c r="A845" t="s">
        <v>735</v>
      </c>
    </row>
    <row r="846" spans="1:1">
      <c r="A846" t="s">
        <v>623</v>
      </c>
    </row>
    <row r="847" spans="1:1">
      <c r="A847" t="s">
        <v>740</v>
      </c>
    </row>
    <row r="848" spans="1:1">
      <c r="A848" t="s">
        <v>741</v>
      </c>
    </row>
    <row r="849" spans="1:1">
      <c r="A849" t="s">
        <v>742</v>
      </c>
    </row>
    <row r="850" spans="1:1">
      <c r="A850" t="s">
        <v>743</v>
      </c>
    </row>
    <row r="851" spans="1:1">
      <c r="A851" t="s">
        <v>744</v>
      </c>
    </row>
    <row r="852" spans="1:1">
      <c r="A852" t="s">
        <v>745</v>
      </c>
    </row>
    <row r="853" spans="1:1">
      <c r="A853" t="s">
        <v>741</v>
      </c>
    </row>
    <row r="854" spans="1:1">
      <c r="A854" t="s">
        <v>624</v>
      </c>
    </row>
    <row r="855" spans="1:1">
      <c r="A855" t="s">
        <v>746</v>
      </c>
    </row>
    <row r="856" spans="1:1">
      <c r="A856" t="s">
        <v>747</v>
      </c>
    </row>
    <row r="857" spans="1:1">
      <c r="A857" t="s">
        <v>748</v>
      </c>
    </row>
    <row r="858" spans="1:1">
      <c r="A858" t="s">
        <v>749</v>
      </c>
    </row>
    <row r="859" spans="1:1">
      <c r="A859" t="s">
        <v>750</v>
      </c>
    </row>
    <row r="860" spans="1:1">
      <c r="A860" t="s">
        <v>751</v>
      </c>
    </row>
    <row r="861" spans="1:1">
      <c r="A861" t="s">
        <v>752</v>
      </c>
    </row>
    <row r="862" spans="1:1">
      <c r="A862" t="s">
        <v>625</v>
      </c>
    </row>
    <row r="863" spans="1:1">
      <c r="A863" t="s">
        <v>753</v>
      </c>
    </row>
    <row r="864" spans="1:1">
      <c r="A864" t="s">
        <v>754</v>
      </c>
    </row>
    <row r="865" spans="1:1">
      <c r="A865" t="s">
        <v>755</v>
      </c>
    </row>
    <row r="866" spans="1:1">
      <c r="A866" t="s">
        <v>756</v>
      </c>
    </row>
    <row r="867" spans="1:1">
      <c r="A867" t="s">
        <v>757</v>
      </c>
    </row>
    <row r="868" spans="1:1">
      <c r="A868" t="s">
        <v>758</v>
      </c>
    </row>
    <row r="869" spans="1:1">
      <c r="A869" t="s">
        <v>754</v>
      </c>
    </row>
    <row r="870" spans="1:1">
      <c r="A870" t="s">
        <v>626</v>
      </c>
    </row>
    <row r="871" spans="1:1">
      <c r="A871" t="s">
        <v>759</v>
      </c>
    </row>
    <row r="872" spans="1:1">
      <c r="A872" t="s">
        <v>760</v>
      </c>
    </row>
    <row r="873" spans="1:1">
      <c r="A873" t="s">
        <v>761</v>
      </c>
    </row>
    <row r="874" spans="1:1">
      <c r="A874" t="s">
        <v>762</v>
      </c>
    </row>
    <row r="875" spans="1:1">
      <c r="A875" t="s">
        <v>763</v>
      </c>
    </row>
    <row r="876" spans="1:1">
      <c r="A876" t="s">
        <v>764</v>
      </c>
    </row>
    <row r="877" spans="1:1">
      <c r="A877" t="s">
        <v>765</v>
      </c>
    </row>
    <row r="878" spans="1:1">
      <c r="A878" t="s">
        <v>627</v>
      </c>
    </row>
    <row r="879" spans="1:1">
      <c r="A879" t="s">
        <v>766</v>
      </c>
    </row>
    <row r="880" spans="1:1">
      <c r="A880" t="s">
        <v>767</v>
      </c>
    </row>
    <row r="881" spans="1:1">
      <c r="A881" t="s">
        <v>768</v>
      </c>
    </row>
    <row r="882" spans="1:1">
      <c r="A882" t="s">
        <v>769</v>
      </c>
    </row>
    <row r="883" spans="1:1">
      <c r="A883" t="s">
        <v>770</v>
      </c>
    </row>
    <row r="884" spans="1:1">
      <c r="A884" t="s">
        <v>771</v>
      </c>
    </row>
    <row r="885" spans="1:1">
      <c r="A885" t="s">
        <v>767</v>
      </c>
    </row>
    <row r="886" spans="1:1">
      <c r="A886" t="s">
        <v>628</v>
      </c>
    </row>
    <row r="887" spans="1:1">
      <c r="A887" t="s">
        <v>772</v>
      </c>
    </row>
    <row r="888" spans="1:1">
      <c r="A888" t="s">
        <v>773</v>
      </c>
    </row>
    <row r="889" spans="1:1">
      <c r="A889" t="s">
        <v>774</v>
      </c>
    </row>
    <row r="890" spans="1:1">
      <c r="A890" t="s">
        <v>775</v>
      </c>
    </row>
    <row r="891" spans="1:1">
      <c r="A891" t="s">
        <v>776</v>
      </c>
    </row>
    <row r="892" spans="1:1">
      <c r="A892" t="s">
        <v>777</v>
      </c>
    </row>
    <row r="893" spans="1:1">
      <c r="A893" t="s">
        <v>773</v>
      </c>
    </row>
    <row r="894" spans="1:1">
      <c r="A894" t="s">
        <v>629</v>
      </c>
    </row>
    <row r="895" spans="1:1">
      <c r="A895" t="s">
        <v>778</v>
      </c>
    </row>
    <row r="896" spans="1:1">
      <c r="A896" t="s">
        <v>779</v>
      </c>
    </row>
    <row r="897" spans="1:1">
      <c r="A897" t="s">
        <v>780</v>
      </c>
    </row>
    <row r="898" spans="1:1">
      <c r="A898" t="s">
        <v>781</v>
      </c>
    </row>
    <row r="899" spans="1:1">
      <c r="A899" t="s">
        <v>782</v>
      </c>
    </row>
    <row r="900" spans="1:1">
      <c r="A900" t="s">
        <v>783</v>
      </c>
    </row>
    <row r="901" spans="1:1">
      <c r="A901" t="s">
        <v>779</v>
      </c>
    </row>
    <row r="902" spans="1:1">
      <c r="A902" t="s">
        <v>630</v>
      </c>
    </row>
    <row r="903" spans="1:1">
      <c r="A903" t="s">
        <v>784</v>
      </c>
    </row>
    <row r="904" spans="1:1">
      <c r="A904" t="s">
        <v>785</v>
      </c>
    </row>
    <row r="905" spans="1:1">
      <c r="A905" t="s">
        <v>786</v>
      </c>
    </row>
    <row r="906" spans="1:1">
      <c r="A906" t="s">
        <v>787</v>
      </c>
    </row>
    <row r="907" spans="1:1">
      <c r="A907" t="s">
        <v>788</v>
      </c>
    </row>
    <row r="908" spans="1:1">
      <c r="A908" t="s">
        <v>789</v>
      </c>
    </row>
    <row r="909" spans="1:1">
      <c r="A909" t="s">
        <v>785</v>
      </c>
    </row>
    <row r="910" spans="1:1">
      <c r="A910" t="s">
        <v>631</v>
      </c>
    </row>
    <row r="911" spans="1:1">
      <c r="A911" t="s">
        <v>790</v>
      </c>
    </row>
    <row r="912" spans="1:1">
      <c r="A912" t="s">
        <v>791</v>
      </c>
    </row>
    <row r="913" spans="1:1">
      <c r="A913" t="s">
        <v>792</v>
      </c>
    </row>
    <row r="914" spans="1:1">
      <c r="A914" t="s">
        <v>793</v>
      </c>
    </row>
    <row r="915" spans="1:1">
      <c r="A915" t="s">
        <v>794</v>
      </c>
    </row>
    <row r="916" spans="1:1">
      <c r="A916" t="s">
        <v>795</v>
      </c>
    </row>
    <row r="917" spans="1:1">
      <c r="A917" t="s">
        <v>791</v>
      </c>
    </row>
    <row r="918" spans="1:1">
      <c r="A918" t="s">
        <v>632</v>
      </c>
    </row>
    <row r="919" spans="1:1">
      <c r="A919" t="s">
        <v>796</v>
      </c>
    </row>
    <row r="920" spans="1:1">
      <c r="A920" t="s">
        <v>797</v>
      </c>
    </row>
    <row r="921" spans="1:1">
      <c r="A921" t="s">
        <v>798</v>
      </c>
    </row>
    <row r="922" spans="1:1">
      <c r="A922" t="s">
        <v>799</v>
      </c>
    </row>
    <row r="923" spans="1:1">
      <c r="A923" t="s">
        <v>800</v>
      </c>
    </row>
    <row r="924" spans="1:1">
      <c r="A924" t="s">
        <v>801</v>
      </c>
    </row>
    <row r="925" spans="1:1">
      <c r="A925" t="s">
        <v>797</v>
      </c>
    </row>
    <row r="926" spans="1:1">
      <c r="A926" t="s">
        <v>633</v>
      </c>
    </row>
    <row r="927" spans="1:1">
      <c r="A927" t="s">
        <v>802</v>
      </c>
    </row>
    <row r="928" spans="1:1">
      <c r="A928" t="s">
        <v>803</v>
      </c>
    </row>
    <row r="929" spans="1:1">
      <c r="A929" t="s">
        <v>804</v>
      </c>
    </row>
    <row r="930" spans="1:1">
      <c r="A930" t="s">
        <v>805</v>
      </c>
    </row>
    <row r="931" spans="1:1">
      <c r="A931" t="s">
        <v>806</v>
      </c>
    </row>
    <row r="932" spans="1:1">
      <c r="A932" t="s">
        <v>807</v>
      </c>
    </row>
    <row r="933" spans="1:1">
      <c r="A933" t="s">
        <v>803</v>
      </c>
    </row>
    <row r="934" spans="1:1">
      <c r="A934" t="s">
        <v>634</v>
      </c>
    </row>
    <row r="935" spans="1:1">
      <c r="A935" t="s">
        <v>808</v>
      </c>
    </row>
    <row r="936" spans="1:1">
      <c r="A936" t="s">
        <v>809</v>
      </c>
    </row>
    <row r="937" spans="1:1">
      <c r="A937" t="s">
        <v>810</v>
      </c>
    </row>
    <row r="938" spans="1:1">
      <c r="A938" t="s">
        <v>811</v>
      </c>
    </row>
    <row r="939" spans="1:1">
      <c r="A939" t="s">
        <v>812</v>
      </c>
    </row>
    <row r="940" spans="1:1">
      <c r="A940" t="s">
        <v>813</v>
      </c>
    </row>
    <row r="941" spans="1:1">
      <c r="A941" t="s">
        <v>809</v>
      </c>
    </row>
    <row r="942" spans="1:1">
      <c r="A942" t="s">
        <v>635</v>
      </c>
    </row>
    <row r="943" spans="1:1">
      <c r="A943" t="s">
        <v>814</v>
      </c>
    </row>
    <row r="944" spans="1:1">
      <c r="A944" t="s">
        <v>815</v>
      </c>
    </row>
    <row r="945" spans="1:1">
      <c r="A945" t="s">
        <v>816</v>
      </c>
    </row>
    <row r="946" spans="1:1">
      <c r="A946" t="s">
        <v>817</v>
      </c>
    </row>
    <row r="947" spans="1:1">
      <c r="A947" t="s">
        <v>818</v>
      </c>
    </row>
    <row r="948" spans="1:1">
      <c r="A948" t="s">
        <v>819</v>
      </c>
    </row>
    <row r="949" spans="1:1">
      <c r="A949" t="s">
        <v>815</v>
      </c>
    </row>
    <row r="950" spans="1:1">
      <c r="A950" t="s">
        <v>636</v>
      </c>
    </row>
    <row r="951" spans="1:1">
      <c r="A951" t="s">
        <v>820</v>
      </c>
    </row>
    <row r="952" spans="1:1">
      <c r="A952" t="s">
        <v>821</v>
      </c>
    </row>
    <row r="953" spans="1:1">
      <c r="A953" t="s">
        <v>822</v>
      </c>
    </row>
    <row r="954" spans="1:1">
      <c r="A954" t="s">
        <v>823</v>
      </c>
    </row>
    <row r="955" spans="1:1">
      <c r="A955" t="s">
        <v>824</v>
      </c>
    </row>
    <row r="956" spans="1:1">
      <c r="A956" t="s">
        <v>825</v>
      </c>
    </row>
    <row r="957" spans="1:1">
      <c r="A957" t="s">
        <v>821</v>
      </c>
    </row>
    <row r="958" spans="1:1">
      <c r="A958" t="s">
        <v>637</v>
      </c>
    </row>
    <row r="959" spans="1:1">
      <c r="A959" t="s">
        <v>826</v>
      </c>
    </row>
    <row r="960" spans="1:1">
      <c r="A960" t="s">
        <v>827</v>
      </c>
    </row>
    <row r="961" spans="1:1">
      <c r="A961" t="s">
        <v>828</v>
      </c>
    </row>
    <row r="962" spans="1:1">
      <c r="A962" t="s">
        <v>829</v>
      </c>
    </row>
    <row r="963" spans="1:1">
      <c r="A963" t="s">
        <v>830</v>
      </c>
    </row>
    <row r="964" spans="1:1">
      <c r="A964" t="s">
        <v>831</v>
      </c>
    </row>
    <row r="965" spans="1:1">
      <c r="A965" t="s">
        <v>827</v>
      </c>
    </row>
    <row r="966" spans="1:1">
      <c r="A966" t="s">
        <v>638</v>
      </c>
    </row>
    <row r="967" spans="1:1">
      <c r="A967" t="s">
        <v>832</v>
      </c>
    </row>
    <row r="968" spans="1:1">
      <c r="A968" t="s">
        <v>833</v>
      </c>
    </row>
    <row r="969" spans="1:1">
      <c r="A969" t="s">
        <v>834</v>
      </c>
    </row>
    <row r="970" spans="1:1">
      <c r="A970" t="s">
        <v>835</v>
      </c>
    </row>
    <row r="971" spans="1:1">
      <c r="A971" t="s">
        <v>836</v>
      </c>
    </row>
    <row r="972" spans="1:1">
      <c r="A972" t="s">
        <v>837</v>
      </c>
    </row>
    <row r="973" spans="1:1">
      <c r="A973" t="s">
        <v>838</v>
      </c>
    </row>
    <row r="974" spans="1:1">
      <c r="A974" t="s">
        <v>639</v>
      </c>
    </row>
    <row r="975" spans="1:1">
      <c r="A975" t="s">
        <v>839</v>
      </c>
    </row>
    <row r="976" spans="1:1">
      <c r="A976" t="s">
        <v>840</v>
      </c>
    </row>
    <row r="977" spans="1:1">
      <c r="A977" t="s">
        <v>841</v>
      </c>
    </row>
    <row r="978" spans="1:1">
      <c r="A978" t="s">
        <v>842</v>
      </c>
    </row>
    <row r="979" spans="1:1">
      <c r="A979" t="s">
        <v>843</v>
      </c>
    </row>
    <row r="980" spans="1:1">
      <c r="A980" t="s">
        <v>844</v>
      </c>
    </row>
    <row r="981" spans="1:1">
      <c r="A981" t="s">
        <v>840</v>
      </c>
    </row>
    <row r="982" spans="1:1">
      <c r="A982" t="s">
        <v>640</v>
      </c>
    </row>
    <row r="983" spans="1:1">
      <c r="A983" t="s">
        <v>845</v>
      </c>
    </row>
    <row r="984" spans="1:1">
      <c r="A984" t="s">
        <v>846</v>
      </c>
    </row>
    <row r="985" spans="1:1">
      <c r="A985" t="s">
        <v>847</v>
      </c>
    </row>
    <row r="986" spans="1:1">
      <c r="A986" t="s">
        <v>848</v>
      </c>
    </row>
    <row r="987" spans="1:1">
      <c r="A987" t="s">
        <v>849</v>
      </c>
    </row>
    <row r="988" spans="1:1">
      <c r="A988" t="s">
        <v>850</v>
      </c>
    </row>
    <row r="989" spans="1:1">
      <c r="A989" t="s">
        <v>851</v>
      </c>
    </row>
    <row r="990" spans="1:1">
      <c r="A990" t="s">
        <v>641</v>
      </c>
    </row>
    <row r="991" spans="1:1">
      <c r="A991" t="s">
        <v>852</v>
      </c>
    </row>
    <row r="992" spans="1:1">
      <c r="A992" t="s">
        <v>853</v>
      </c>
    </row>
    <row r="993" spans="1:1">
      <c r="A993" t="s">
        <v>854</v>
      </c>
    </row>
    <row r="994" spans="1:1">
      <c r="A994" t="s">
        <v>855</v>
      </c>
    </row>
    <row r="995" spans="1:1">
      <c r="A995" t="s">
        <v>856</v>
      </c>
    </row>
    <row r="996" spans="1:1">
      <c r="A996" t="s">
        <v>857</v>
      </c>
    </row>
    <row r="997" spans="1:1">
      <c r="A997" t="s">
        <v>853</v>
      </c>
    </row>
    <row r="998" spans="1:1">
      <c r="A998" t="s">
        <v>642</v>
      </c>
    </row>
    <row r="999" spans="1:1">
      <c r="A999" t="s">
        <v>858</v>
      </c>
    </row>
    <row r="1000" spans="1:1">
      <c r="A1000" t="s">
        <v>859</v>
      </c>
    </row>
    <row r="1001" spans="1:1">
      <c r="A1001" t="s">
        <v>860</v>
      </c>
    </row>
    <row r="1002" spans="1:1">
      <c r="A1002" t="s">
        <v>861</v>
      </c>
    </row>
    <row r="1003" spans="1:1">
      <c r="A1003" t="s">
        <v>862</v>
      </c>
    </row>
    <row r="1004" spans="1:1">
      <c r="A1004" t="s">
        <v>863</v>
      </c>
    </row>
    <row r="1005" spans="1:1">
      <c r="A1005" t="s">
        <v>859</v>
      </c>
    </row>
    <row r="1006" spans="1:1">
      <c r="A1006" t="s">
        <v>643</v>
      </c>
    </row>
  </sheetData>
  <autoFilter ref="A6:C715" xr:uid="{9D7EBDDF-4DDC-4103-A158-9041F1EE1E00}"/>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9FA2A-011A-49B6-92C9-18F65D92984B}">
  <dimension ref="A1:AL469"/>
  <sheetViews>
    <sheetView tabSelected="1" workbookViewId="0">
      <pane xSplit="3" ySplit="2" topLeftCell="D3" activePane="bottomRight" state="frozen"/>
      <selection pane="topRight" activeCell="C1" sqref="C1"/>
      <selection pane="bottomLeft" activeCell="A2" sqref="A2"/>
      <selection pane="bottomRight" activeCell="B10" sqref="B10"/>
    </sheetView>
  </sheetViews>
  <sheetFormatPr defaultRowHeight="15" outlineLevelRow="1"/>
  <cols>
    <col min="1" max="1" width="9" customWidth="1"/>
    <col min="2" max="2" width="65.7109375" customWidth="1"/>
    <col min="3" max="3" width="34.7109375" customWidth="1"/>
    <col min="4" max="13" width="23.42578125" customWidth="1"/>
    <col min="14" max="17" width="12.5703125" customWidth="1"/>
    <col min="18" max="35" width="50.7109375" customWidth="1"/>
    <col min="36" max="38" width="12.5703125" customWidth="1"/>
  </cols>
  <sheetData>
    <row r="1" spans="1:38">
      <c r="B1" t="s">
        <v>2358</v>
      </c>
      <c r="C1" s="7">
        <f>+D1-1</f>
        <v>42164</v>
      </c>
      <c r="D1" s="7">
        <v>42165</v>
      </c>
      <c r="E1" s="7">
        <f>+D1+1</f>
        <v>42166</v>
      </c>
      <c r="F1" s="7">
        <f t="shared" ref="F1:AL1" si="0">+E1+1</f>
        <v>42167</v>
      </c>
      <c r="G1" s="7">
        <f t="shared" si="0"/>
        <v>42168</v>
      </c>
      <c r="H1" s="7">
        <f t="shared" si="0"/>
        <v>42169</v>
      </c>
      <c r="I1" s="7">
        <f t="shared" si="0"/>
        <v>42170</v>
      </c>
      <c r="J1" s="7">
        <f t="shared" si="0"/>
        <v>42171</v>
      </c>
      <c r="K1" s="7">
        <f t="shared" si="0"/>
        <v>42172</v>
      </c>
      <c r="L1" s="7">
        <f t="shared" si="0"/>
        <v>42173</v>
      </c>
      <c r="M1" s="7">
        <f t="shared" si="0"/>
        <v>42174</v>
      </c>
      <c r="N1" s="7">
        <f t="shared" si="0"/>
        <v>42175</v>
      </c>
      <c r="O1" s="7">
        <f t="shared" si="0"/>
        <v>42176</v>
      </c>
      <c r="P1" s="7">
        <f t="shared" si="0"/>
        <v>42177</v>
      </c>
      <c r="Q1" s="7">
        <f t="shared" si="0"/>
        <v>42178</v>
      </c>
      <c r="R1" s="7">
        <f t="shared" si="0"/>
        <v>42179</v>
      </c>
      <c r="S1" s="7">
        <f t="shared" si="0"/>
        <v>42180</v>
      </c>
      <c r="T1" s="7">
        <f t="shared" si="0"/>
        <v>42181</v>
      </c>
      <c r="U1" s="7">
        <f t="shared" si="0"/>
        <v>42182</v>
      </c>
      <c r="V1" s="7">
        <f t="shared" si="0"/>
        <v>42183</v>
      </c>
      <c r="W1" s="7">
        <f t="shared" si="0"/>
        <v>42184</v>
      </c>
      <c r="X1" s="7">
        <f t="shared" si="0"/>
        <v>42185</v>
      </c>
      <c r="Y1" s="7">
        <f t="shared" si="0"/>
        <v>42186</v>
      </c>
      <c r="Z1" s="7">
        <f t="shared" si="0"/>
        <v>42187</v>
      </c>
      <c r="AA1" s="7">
        <f t="shared" si="0"/>
        <v>42188</v>
      </c>
      <c r="AB1" s="7">
        <f t="shared" si="0"/>
        <v>42189</v>
      </c>
      <c r="AC1" s="7">
        <f t="shared" si="0"/>
        <v>42190</v>
      </c>
      <c r="AD1" s="7">
        <f t="shared" si="0"/>
        <v>42191</v>
      </c>
      <c r="AE1" s="7">
        <f t="shared" si="0"/>
        <v>42192</v>
      </c>
      <c r="AF1" s="7">
        <f t="shared" si="0"/>
        <v>42193</v>
      </c>
      <c r="AG1" s="7">
        <f t="shared" si="0"/>
        <v>42194</v>
      </c>
      <c r="AH1" s="7">
        <f t="shared" si="0"/>
        <v>42195</v>
      </c>
      <c r="AI1" s="7">
        <f t="shared" si="0"/>
        <v>42196</v>
      </c>
      <c r="AJ1" s="7">
        <f t="shared" si="0"/>
        <v>42197</v>
      </c>
      <c r="AK1" s="7">
        <f t="shared" si="0"/>
        <v>42198</v>
      </c>
      <c r="AL1" s="7">
        <f t="shared" si="0"/>
        <v>42199</v>
      </c>
    </row>
    <row r="2" spans="1:38">
      <c r="C2">
        <v>1</v>
      </c>
      <c r="D2">
        <f>+C2+1</f>
        <v>2</v>
      </c>
      <c r="E2">
        <f t="shared" ref="E2:AL2" si="1">+D2+1</f>
        <v>3</v>
      </c>
      <c r="F2">
        <f t="shared" si="1"/>
        <v>4</v>
      </c>
      <c r="G2">
        <f t="shared" si="1"/>
        <v>5</v>
      </c>
      <c r="H2">
        <f t="shared" si="1"/>
        <v>6</v>
      </c>
      <c r="I2">
        <f t="shared" si="1"/>
        <v>7</v>
      </c>
      <c r="J2">
        <f t="shared" si="1"/>
        <v>8</v>
      </c>
      <c r="K2">
        <f t="shared" si="1"/>
        <v>9</v>
      </c>
      <c r="L2">
        <f t="shared" si="1"/>
        <v>10</v>
      </c>
      <c r="M2">
        <f t="shared" si="1"/>
        <v>11</v>
      </c>
      <c r="N2">
        <f t="shared" si="1"/>
        <v>12</v>
      </c>
      <c r="O2">
        <f t="shared" si="1"/>
        <v>13</v>
      </c>
      <c r="P2">
        <f t="shared" si="1"/>
        <v>14</v>
      </c>
      <c r="Q2">
        <f t="shared" si="1"/>
        <v>15</v>
      </c>
      <c r="R2">
        <f t="shared" si="1"/>
        <v>16</v>
      </c>
      <c r="S2">
        <f t="shared" si="1"/>
        <v>17</v>
      </c>
      <c r="T2">
        <f t="shared" si="1"/>
        <v>18</v>
      </c>
      <c r="U2">
        <f t="shared" si="1"/>
        <v>19</v>
      </c>
      <c r="V2">
        <f t="shared" si="1"/>
        <v>20</v>
      </c>
      <c r="W2">
        <f t="shared" si="1"/>
        <v>21</v>
      </c>
      <c r="X2">
        <f t="shared" si="1"/>
        <v>22</v>
      </c>
      <c r="Y2">
        <f t="shared" si="1"/>
        <v>23</v>
      </c>
      <c r="Z2">
        <f t="shared" si="1"/>
        <v>24</v>
      </c>
      <c r="AA2">
        <f t="shared" si="1"/>
        <v>25</v>
      </c>
      <c r="AB2">
        <f t="shared" si="1"/>
        <v>26</v>
      </c>
      <c r="AC2">
        <f t="shared" si="1"/>
        <v>27</v>
      </c>
      <c r="AD2">
        <f t="shared" si="1"/>
        <v>28</v>
      </c>
      <c r="AE2">
        <f t="shared" si="1"/>
        <v>29</v>
      </c>
      <c r="AF2">
        <f t="shared" si="1"/>
        <v>30</v>
      </c>
      <c r="AG2">
        <f t="shared" si="1"/>
        <v>31</v>
      </c>
      <c r="AH2">
        <f t="shared" si="1"/>
        <v>32</v>
      </c>
      <c r="AI2">
        <f t="shared" si="1"/>
        <v>33</v>
      </c>
      <c r="AJ2">
        <f t="shared" si="1"/>
        <v>34</v>
      </c>
      <c r="AK2">
        <f t="shared" si="1"/>
        <v>35</v>
      </c>
      <c r="AL2">
        <f t="shared" si="1"/>
        <v>36</v>
      </c>
    </row>
    <row r="3" spans="1:38">
      <c r="C3" s="1" t="s">
        <v>864</v>
      </c>
      <c r="D3" s="1" t="s">
        <v>864</v>
      </c>
      <c r="E3" s="1" t="s">
        <v>864</v>
      </c>
      <c r="F3" s="1" t="s">
        <v>864</v>
      </c>
      <c r="G3" s="1" t="s">
        <v>864</v>
      </c>
      <c r="H3" s="1" t="s">
        <v>864</v>
      </c>
      <c r="I3" s="1" t="s">
        <v>864</v>
      </c>
      <c r="J3" s="1" t="s">
        <v>864</v>
      </c>
      <c r="K3" s="1" t="s">
        <v>864</v>
      </c>
      <c r="L3" s="1" t="s">
        <v>864</v>
      </c>
      <c r="M3" s="1" t="s">
        <v>864</v>
      </c>
      <c r="N3" s="1" t="s">
        <v>864</v>
      </c>
      <c r="O3" s="1" t="s">
        <v>864</v>
      </c>
      <c r="P3" s="1" t="s">
        <v>864</v>
      </c>
      <c r="Q3" s="1" t="s">
        <v>864</v>
      </c>
      <c r="R3" s="1" t="s">
        <v>864</v>
      </c>
      <c r="S3" s="1" t="s">
        <v>864</v>
      </c>
      <c r="T3" s="1" t="s">
        <v>864</v>
      </c>
    </row>
    <row r="4" spans="1:38">
      <c r="C4" s="1" t="s">
        <v>865</v>
      </c>
      <c r="D4" s="1" t="s">
        <v>865</v>
      </c>
      <c r="E4" s="1" t="s">
        <v>865</v>
      </c>
      <c r="F4" s="1" t="s">
        <v>865</v>
      </c>
      <c r="G4" s="1" t="s">
        <v>865</v>
      </c>
      <c r="H4" s="1" t="s">
        <v>865</v>
      </c>
      <c r="I4" s="1" t="s">
        <v>865</v>
      </c>
      <c r="J4" s="1" t="s">
        <v>865</v>
      </c>
      <c r="K4" s="1" t="s">
        <v>865</v>
      </c>
      <c r="L4" s="1" t="s">
        <v>865</v>
      </c>
      <c r="M4" s="1" t="s">
        <v>865</v>
      </c>
      <c r="N4" s="1" t="s">
        <v>865</v>
      </c>
      <c r="O4" s="1" t="s">
        <v>1802</v>
      </c>
      <c r="P4" s="1" t="s">
        <v>865</v>
      </c>
      <c r="Q4" s="1" t="s">
        <v>865</v>
      </c>
      <c r="R4" s="1" t="s">
        <v>865</v>
      </c>
      <c r="S4" s="1" t="s">
        <v>865</v>
      </c>
      <c r="T4" s="1" t="s">
        <v>865</v>
      </c>
    </row>
    <row r="5" spans="1:38">
      <c r="C5" s="1" t="s">
        <v>866</v>
      </c>
      <c r="D5" s="1" t="s">
        <v>866</v>
      </c>
      <c r="E5" s="1" t="s">
        <v>866</v>
      </c>
      <c r="F5" s="1" t="s">
        <v>866</v>
      </c>
      <c r="G5" s="1" t="s">
        <v>866</v>
      </c>
      <c r="H5" s="1" t="s">
        <v>866</v>
      </c>
      <c r="I5" s="1" t="s">
        <v>866</v>
      </c>
      <c r="J5" s="1" t="s">
        <v>866</v>
      </c>
      <c r="K5" s="1" t="s">
        <v>866</v>
      </c>
      <c r="L5" s="1" t="s">
        <v>866</v>
      </c>
      <c r="M5" s="1" t="s">
        <v>866</v>
      </c>
      <c r="N5" s="1" t="s">
        <v>866</v>
      </c>
      <c r="O5" s="1" t="s">
        <v>866</v>
      </c>
      <c r="P5" s="1" t="s">
        <v>866</v>
      </c>
      <c r="Q5" s="1" t="s">
        <v>866</v>
      </c>
      <c r="R5" s="1" t="s">
        <v>866</v>
      </c>
      <c r="S5" s="1" t="s">
        <v>866</v>
      </c>
      <c r="T5" s="1" t="s">
        <v>866</v>
      </c>
    </row>
    <row r="6" spans="1:38">
      <c r="C6" s="1" t="s">
        <v>867</v>
      </c>
      <c r="D6" s="1" t="s">
        <v>867</v>
      </c>
      <c r="E6" s="1" t="s">
        <v>867</v>
      </c>
      <c r="F6" s="1" t="s">
        <v>867</v>
      </c>
      <c r="G6" s="1" t="s">
        <v>867</v>
      </c>
      <c r="H6" s="1" t="s">
        <v>867</v>
      </c>
      <c r="I6" s="1" t="s">
        <v>867</v>
      </c>
      <c r="J6" s="1" t="s">
        <v>867</v>
      </c>
      <c r="K6" s="1" t="s">
        <v>867</v>
      </c>
      <c r="L6" s="1" t="s">
        <v>867</v>
      </c>
      <c r="M6" s="1" t="s">
        <v>867</v>
      </c>
      <c r="N6" s="1" t="s">
        <v>867</v>
      </c>
      <c r="O6" s="1" t="s">
        <v>867</v>
      </c>
      <c r="P6" s="1" t="s">
        <v>867</v>
      </c>
      <c r="Q6" s="1" t="s">
        <v>867</v>
      </c>
      <c r="R6" s="1" t="s">
        <v>867</v>
      </c>
      <c r="S6" s="1" t="s">
        <v>867</v>
      </c>
      <c r="T6" s="1" t="s">
        <v>867</v>
      </c>
    </row>
    <row r="7" spans="1:38" outlineLevel="1">
      <c r="C7" s="1" t="s">
        <v>868</v>
      </c>
      <c r="D7" s="1" t="s">
        <v>868</v>
      </c>
      <c r="E7" s="1" t="s">
        <v>868</v>
      </c>
      <c r="F7" s="1" t="s">
        <v>868</v>
      </c>
      <c r="G7" s="1" t="s">
        <v>868</v>
      </c>
      <c r="H7" s="1" t="s">
        <v>868</v>
      </c>
      <c r="I7" s="1" t="s">
        <v>868</v>
      </c>
      <c r="J7" s="1" t="s">
        <v>868</v>
      </c>
      <c r="K7" s="1" t="s">
        <v>868</v>
      </c>
      <c r="L7" s="1" t="s">
        <v>868</v>
      </c>
      <c r="M7" s="1" t="s">
        <v>868</v>
      </c>
      <c r="N7" s="1" t="s">
        <v>868</v>
      </c>
      <c r="O7" s="1" t="s">
        <v>868</v>
      </c>
      <c r="P7" s="1" t="s">
        <v>868</v>
      </c>
      <c r="Q7" s="1" t="s">
        <v>868</v>
      </c>
      <c r="R7" s="1" t="s">
        <v>868</v>
      </c>
      <c r="S7" s="1" t="s">
        <v>868</v>
      </c>
      <c r="T7" s="1" t="s">
        <v>868</v>
      </c>
    </row>
    <row r="8" spans="1:38" outlineLevel="1">
      <c r="A8" t="s">
        <v>2342</v>
      </c>
      <c r="B8" t="str">
        <f t="shared" ref="B8:B10" si="2">+C8</f>
        <v xml:space="preserve"> &lt;meta name="viewport" content="width=device-width, initial-scale=1"&gt;</v>
      </c>
      <c r="C8" s="1" t="s">
        <v>869</v>
      </c>
      <c r="D8" s="1" t="s">
        <v>869</v>
      </c>
      <c r="E8" s="1" t="s">
        <v>869</v>
      </c>
      <c r="F8" s="1" t="s">
        <v>869</v>
      </c>
      <c r="G8" s="1" t="s">
        <v>869</v>
      </c>
      <c r="H8" s="1" t="s">
        <v>869</v>
      </c>
      <c r="I8" s="1" t="s">
        <v>869</v>
      </c>
      <c r="J8" s="1" t="s">
        <v>869</v>
      </c>
      <c r="K8" s="1" t="s">
        <v>869</v>
      </c>
      <c r="L8" s="1" t="s">
        <v>869</v>
      </c>
      <c r="M8" s="1" t="s">
        <v>869</v>
      </c>
      <c r="N8" s="1" t="s">
        <v>869</v>
      </c>
      <c r="O8" s="1" t="s">
        <v>869</v>
      </c>
      <c r="P8" s="1" t="s">
        <v>869</v>
      </c>
      <c r="Q8" s="1" t="s">
        <v>869</v>
      </c>
      <c r="R8" s="1" t="s">
        <v>869</v>
      </c>
      <c r="S8" s="1" t="s">
        <v>869</v>
      </c>
      <c r="T8" s="1" t="s">
        <v>869</v>
      </c>
    </row>
    <row r="9" spans="1:38" outlineLevel="1">
      <c r="A9" t="s">
        <v>2344</v>
      </c>
      <c r="B9" t="str">
        <f t="shared" si="2"/>
        <v xml:space="preserve"> &lt;meta name="description" content="JimTD Day01"&gt;</v>
      </c>
      <c r="C9" s="1" t="s">
        <v>870</v>
      </c>
      <c r="D9" s="1" t="s">
        <v>870</v>
      </c>
      <c r="E9" s="1" t="s">
        <v>1114</v>
      </c>
      <c r="F9" s="1" t="s">
        <v>1259</v>
      </c>
      <c r="G9" s="1" t="s">
        <v>1172</v>
      </c>
      <c r="H9" s="1" t="s">
        <v>1351</v>
      </c>
      <c r="I9" s="1" t="s">
        <v>1420</v>
      </c>
      <c r="J9" s="1" t="s">
        <v>1544</v>
      </c>
      <c r="K9" s="1" t="s">
        <v>1622</v>
      </c>
      <c r="L9" s="1" t="s">
        <v>1716</v>
      </c>
      <c r="M9" s="1" t="s">
        <v>1772</v>
      </c>
      <c r="N9" s="1" t="s">
        <v>1460</v>
      </c>
      <c r="O9" s="1" t="s">
        <v>1803</v>
      </c>
      <c r="P9" s="1" t="s">
        <v>1882</v>
      </c>
      <c r="Q9" s="1" t="s">
        <v>1958</v>
      </c>
      <c r="R9" s="1" t="s">
        <v>2046</v>
      </c>
      <c r="S9" s="1" t="s">
        <v>2153</v>
      </c>
      <c r="T9" s="1" t="s">
        <v>2246</v>
      </c>
    </row>
    <row r="10" spans="1:38" outlineLevel="1">
      <c r="A10" t="s">
        <v>2343</v>
      </c>
      <c r="B10" t="str">
        <f t="shared" si="2"/>
        <v xml:space="preserve"> &lt;meta name="author" content="Jim OBrien"&gt;</v>
      </c>
      <c r="C10" s="1" t="s">
        <v>871</v>
      </c>
      <c r="D10" s="1" t="s">
        <v>871</v>
      </c>
      <c r="E10" s="1" t="s">
        <v>871</v>
      </c>
      <c r="F10" s="1" t="s">
        <v>871</v>
      </c>
      <c r="G10" s="1" t="s">
        <v>871</v>
      </c>
      <c r="H10" s="1" t="s">
        <v>871</v>
      </c>
      <c r="I10" s="1" t="s">
        <v>871</v>
      </c>
      <c r="J10" s="1" t="s">
        <v>871</v>
      </c>
      <c r="K10" s="1" t="s">
        <v>871</v>
      </c>
      <c r="L10" s="1" t="s">
        <v>871</v>
      </c>
      <c r="M10" s="1" t="s">
        <v>871</v>
      </c>
      <c r="N10" s="1" t="s">
        <v>871</v>
      </c>
      <c r="O10" s="1" t="s">
        <v>1804</v>
      </c>
      <c r="P10" s="1" t="s">
        <v>871</v>
      </c>
      <c r="Q10" s="1" t="s">
        <v>871</v>
      </c>
      <c r="R10" s="1" t="s">
        <v>871</v>
      </c>
      <c r="S10" s="1" t="s">
        <v>871</v>
      </c>
      <c r="T10" s="1" t="s">
        <v>871</v>
      </c>
    </row>
    <row r="11" spans="1:38" outlineLevel="1">
      <c r="C11" s="1" t="s">
        <v>872</v>
      </c>
      <c r="D11" s="1" t="s">
        <v>872</v>
      </c>
      <c r="E11" s="1" t="s">
        <v>872</v>
      </c>
      <c r="F11" s="1" t="s">
        <v>872</v>
      </c>
      <c r="G11" s="1" t="s">
        <v>872</v>
      </c>
      <c r="H11" s="1" t="s">
        <v>872</v>
      </c>
      <c r="I11" s="1" t="s">
        <v>872</v>
      </c>
      <c r="J11" s="1" t="s">
        <v>872</v>
      </c>
      <c r="K11" s="1" t="s">
        <v>872</v>
      </c>
      <c r="L11" s="1" t="s">
        <v>872</v>
      </c>
      <c r="M11" s="1" t="s">
        <v>872</v>
      </c>
      <c r="N11" s="1" t="s">
        <v>872</v>
      </c>
      <c r="O11" s="1" t="s">
        <v>872</v>
      </c>
      <c r="P11" s="1" t="s">
        <v>872</v>
      </c>
      <c r="Q11" s="1" t="s">
        <v>872</v>
      </c>
      <c r="R11" s="1" t="s">
        <v>872</v>
      </c>
      <c r="S11" s="1" t="s">
        <v>872</v>
      </c>
      <c r="T11" s="1" t="s">
        <v>872</v>
      </c>
    </row>
    <row r="12" spans="1:38" outlineLevel="1">
      <c r="C12" s="2" t="s">
        <v>873</v>
      </c>
      <c r="D12" s="2" t="s">
        <v>873</v>
      </c>
      <c r="E12" s="2" t="s">
        <v>873</v>
      </c>
      <c r="F12" s="2" t="s">
        <v>873</v>
      </c>
      <c r="G12" s="2" t="s">
        <v>873</v>
      </c>
      <c r="H12" s="2" t="s">
        <v>873</v>
      </c>
      <c r="I12" s="2" t="s">
        <v>873</v>
      </c>
      <c r="J12" s="2" t="s">
        <v>873</v>
      </c>
      <c r="K12" s="2" t="s">
        <v>873</v>
      </c>
      <c r="L12" s="2" t="s">
        <v>873</v>
      </c>
      <c r="M12" s="2" t="s">
        <v>873</v>
      </c>
      <c r="N12" s="2" t="s">
        <v>873</v>
      </c>
      <c r="O12" s="2" t="s">
        <v>873</v>
      </c>
      <c r="P12" s="2" t="s">
        <v>873</v>
      </c>
      <c r="Q12" s="2" t="s">
        <v>873</v>
      </c>
      <c r="R12" s="2" t="s">
        <v>873</v>
      </c>
      <c r="S12" s="2" t="s">
        <v>873</v>
      </c>
      <c r="T12" s="2" t="s">
        <v>873</v>
      </c>
    </row>
    <row r="13" spans="1:38" outlineLevel="1">
      <c r="C13" s="3" t="s">
        <v>874</v>
      </c>
      <c r="D13" s="3" t="s">
        <v>874</v>
      </c>
      <c r="E13" s="3" t="s">
        <v>874</v>
      </c>
      <c r="F13" s="3" t="s">
        <v>874</v>
      </c>
      <c r="G13" s="3" t="s">
        <v>874</v>
      </c>
      <c r="H13" s="3" t="s">
        <v>874</v>
      </c>
      <c r="I13" s="3" t="s">
        <v>874</v>
      </c>
      <c r="J13" s="3" t="s">
        <v>874</v>
      </c>
      <c r="K13" s="3" t="s">
        <v>874</v>
      </c>
      <c r="L13" s="3" t="s">
        <v>874</v>
      </c>
      <c r="M13" s="3" t="s">
        <v>874</v>
      </c>
      <c r="N13" s="3" t="s">
        <v>874</v>
      </c>
      <c r="O13" s="3" t="s">
        <v>874</v>
      </c>
      <c r="P13" s="3" t="s">
        <v>874</v>
      </c>
      <c r="Q13" s="3" t="s">
        <v>874</v>
      </c>
      <c r="R13" s="3" t="s">
        <v>874</v>
      </c>
      <c r="S13" s="3" t="s">
        <v>874</v>
      </c>
      <c r="T13" s="3" t="s">
        <v>874</v>
      </c>
    </row>
    <row r="14" spans="1:38" outlineLevel="1">
      <c r="C14" s="2" t="s">
        <v>875</v>
      </c>
      <c r="D14" s="2" t="s">
        <v>875</v>
      </c>
      <c r="E14" s="2" t="s">
        <v>875</v>
      </c>
      <c r="F14" s="2" t="s">
        <v>875</v>
      </c>
      <c r="G14" s="2" t="s">
        <v>875</v>
      </c>
      <c r="H14" s="2" t="s">
        <v>875</v>
      </c>
      <c r="I14" s="2" t="s">
        <v>875</v>
      </c>
      <c r="J14" s="2" t="s">
        <v>875</v>
      </c>
      <c r="K14" s="2" t="s">
        <v>875</v>
      </c>
      <c r="L14" s="2" t="s">
        <v>875</v>
      </c>
      <c r="M14" s="2" t="s">
        <v>875</v>
      </c>
      <c r="N14" s="2" t="s">
        <v>875</v>
      </c>
      <c r="O14" s="2" t="s">
        <v>875</v>
      </c>
      <c r="P14" s="2" t="s">
        <v>875</v>
      </c>
      <c r="Q14" s="2" t="s">
        <v>875</v>
      </c>
      <c r="R14" s="2" t="s">
        <v>875</v>
      </c>
      <c r="S14" s="2" t="s">
        <v>875</v>
      </c>
      <c r="T14" s="2" t="s">
        <v>875</v>
      </c>
    </row>
    <row r="15" spans="1:38" outlineLevel="1">
      <c r="C15" s="3" t="s">
        <v>876</v>
      </c>
      <c r="D15" s="3" t="s">
        <v>876</v>
      </c>
      <c r="E15" s="3" t="s">
        <v>876</v>
      </c>
      <c r="F15" s="3" t="s">
        <v>876</v>
      </c>
      <c r="G15" s="3" t="s">
        <v>876</v>
      </c>
      <c r="H15" s="3" t="s">
        <v>876</v>
      </c>
      <c r="I15" s="3" t="s">
        <v>876</v>
      </c>
      <c r="J15" s="3" t="s">
        <v>876</v>
      </c>
      <c r="K15" s="3" t="s">
        <v>876</v>
      </c>
      <c r="L15" s="3" t="s">
        <v>876</v>
      </c>
      <c r="M15" s="3" t="s">
        <v>876</v>
      </c>
      <c r="N15" s="3" t="s">
        <v>876</v>
      </c>
      <c r="O15" s="3" t="s">
        <v>876</v>
      </c>
      <c r="P15" s="3" t="s">
        <v>876</v>
      </c>
      <c r="Q15" s="3" t="s">
        <v>876</v>
      </c>
      <c r="R15" s="3" t="s">
        <v>876</v>
      </c>
      <c r="S15" s="3" t="s">
        <v>876</v>
      </c>
      <c r="T15" s="3" t="s">
        <v>876</v>
      </c>
    </row>
    <row r="16" spans="1:38" outlineLevel="1">
      <c r="C16" s="3" t="s">
        <v>877</v>
      </c>
      <c r="D16" s="3" t="s">
        <v>877</v>
      </c>
      <c r="E16" s="3" t="s">
        <v>877</v>
      </c>
      <c r="F16" s="3" t="s">
        <v>877</v>
      </c>
      <c r="G16" s="3" t="s">
        <v>877</v>
      </c>
      <c r="H16" s="3" t="s">
        <v>877</v>
      </c>
      <c r="I16" s="3" t="s">
        <v>877</v>
      </c>
      <c r="J16" s="3" t="s">
        <v>877</v>
      </c>
      <c r="K16" s="3" t="s">
        <v>877</v>
      </c>
      <c r="L16" s="3" t="s">
        <v>877</v>
      </c>
      <c r="M16" s="3" t="s">
        <v>877</v>
      </c>
      <c r="N16" s="3" t="s">
        <v>877</v>
      </c>
      <c r="O16" s="3" t="s">
        <v>877</v>
      </c>
      <c r="P16" s="3" t="s">
        <v>877</v>
      </c>
      <c r="Q16" s="3" t="s">
        <v>877</v>
      </c>
      <c r="R16" s="3" t="s">
        <v>877</v>
      </c>
      <c r="S16" s="3" t="s">
        <v>877</v>
      </c>
      <c r="T16" s="3" t="s">
        <v>877</v>
      </c>
    </row>
    <row r="17" spans="1:20" outlineLevel="1">
      <c r="C17" s="2" t="s">
        <v>878</v>
      </c>
      <c r="D17" s="2" t="s">
        <v>878</v>
      </c>
      <c r="E17" s="2" t="s">
        <v>878</v>
      </c>
      <c r="F17" s="2" t="s">
        <v>878</v>
      </c>
      <c r="G17" s="2" t="s">
        <v>878</v>
      </c>
      <c r="H17" s="2" t="s">
        <v>878</v>
      </c>
      <c r="I17" s="2" t="s">
        <v>878</v>
      </c>
      <c r="J17" s="2" t="s">
        <v>878</v>
      </c>
      <c r="K17" s="2" t="s">
        <v>878</v>
      </c>
      <c r="L17" s="2" t="s">
        <v>878</v>
      </c>
      <c r="M17" s="2" t="s">
        <v>878</v>
      </c>
      <c r="N17" s="2" t="s">
        <v>878</v>
      </c>
      <c r="O17" s="2" t="s">
        <v>878</v>
      </c>
      <c r="P17" s="2" t="s">
        <v>878</v>
      </c>
      <c r="Q17" s="2" t="s">
        <v>878</v>
      </c>
      <c r="R17" s="2" t="s">
        <v>878</v>
      </c>
      <c r="S17" s="2" t="s">
        <v>878</v>
      </c>
      <c r="T17" s="2" t="s">
        <v>878</v>
      </c>
    </row>
    <row r="18" spans="1:20" outlineLevel="1">
      <c r="C18" s="4" t="s">
        <v>879</v>
      </c>
      <c r="D18" s="4" t="s">
        <v>879</v>
      </c>
      <c r="E18" s="4" t="s">
        <v>879</v>
      </c>
      <c r="F18" s="4" t="s">
        <v>879</v>
      </c>
      <c r="G18" s="4" t="s">
        <v>879</v>
      </c>
      <c r="H18" s="4" t="s">
        <v>879</v>
      </c>
      <c r="I18" s="4" t="s">
        <v>879</v>
      </c>
      <c r="J18" s="4" t="s">
        <v>879</v>
      </c>
      <c r="K18" s="4" t="s">
        <v>879</v>
      </c>
      <c r="L18" s="4" t="s">
        <v>879</v>
      </c>
      <c r="M18" s="4" t="s">
        <v>879</v>
      </c>
      <c r="N18" s="4" t="s">
        <v>879</v>
      </c>
      <c r="O18" s="4" t="s">
        <v>879</v>
      </c>
      <c r="P18" s="4" t="s">
        <v>879</v>
      </c>
      <c r="Q18" s="4" t="s">
        <v>879</v>
      </c>
      <c r="R18" s="4" t="s">
        <v>879</v>
      </c>
      <c r="S18" s="4" t="s">
        <v>879</v>
      </c>
      <c r="T18" s="4" t="s">
        <v>879</v>
      </c>
    </row>
    <row r="19" spans="1:20" outlineLevel="1">
      <c r="C19" s="3" t="s">
        <v>880</v>
      </c>
      <c r="D19" s="3" t="s">
        <v>880</v>
      </c>
      <c r="E19" s="3" t="s">
        <v>880</v>
      </c>
      <c r="F19" s="3" t="s">
        <v>880</v>
      </c>
      <c r="G19" s="3" t="s">
        <v>880</v>
      </c>
      <c r="H19" s="3" t="s">
        <v>880</v>
      </c>
      <c r="I19" s="3" t="s">
        <v>880</v>
      </c>
      <c r="J19" s="3" t="s">
        <v>880</v>
      </c>
      <c r="K19" s="3" t="s">
        <v>880</v>
      </c>
      <c r="L19" s="3" t="s">
        <v>880</v>
      </c>
      <c r="M19" s="3" t="s">
        <v>880</v>
      </c>
      <c r="N19" s="3" t="s">
        <v>880</v>
      </c>
      <c r="O19" s="3" t="s">
        <v>880</v>
      </c>
      <c r="P19" s="3" t="s">
        <v>880</v>
      </c>
      <c r="Q19" s="3" t="s">
        <v>880</v>
      </c>
      <c r="R19" s="3" t="s">
        <v>880</v>
      </c>
      <c r="S19" s="3" t="s">
        <v>880</v>
      </c>
      <c r="T19" s="3" t="s">
        <v>880</v>
      </c>
    </row>
    <row r="20" spans="1:20" outlineLevel="1">
      <c r="C20" s="4" t="s">
        <v>881</v>
      </c>
      <c r="D20" s="4" t="s">
        <v>881</v>
      </c>
      <c r="E20" s="4" t="s">
        <v>881</v>
      </c>
      <c r="F20" s="4" t="s">
        <v>881</v>
      </c>
      <c r="G20" s="4" t="s">
        <v>881</v>
      </c>
      <c r="H20" s="4" t="s">
        <v>881</v>
      </c>
      <c r="I20" s="4" t="s">
        <v>881</v>
      </c>
      <c r="J20" s="4" t="s">
        <v>881</v>
      </c>
      <c r="K20" s="4" t="s">
        <v>881</v>
      </c>
      <c r="L20" s="4" t="s">
        <v>881</v>
      </c>
      <c r="M20" s="4" t="s">
        <v>881</v>
      </c>
      <c r="N20" s="4" t="s">
        <v>881</v>
      </c>
      <c r="O20" s="4" t="s">
        <v>881</v>
      </c>
      <c r="P20" s="4" t="s">
        <v>881</v>
      </c>
      <c r="Q20" s="4" t="s">
        <v>881</v>
      </c>
      <c r="R20" s="4" t="s">
        <v>881</v>
      </c>
      <c r="S20" s="4" t="s">
        <v>881</v>
      </c>
      <c r="T20" s="4" t="s">
        <v>881</v>
      </c>
    </row>
    <row r="21" spans="1:20" outlineLevel="1">
      <c r="C21" s="3" t="s">
        <v>882</v>
      </c>
      <c r="D21" s="3" t="s">
        <v>882</v>
      </c>
      <c r="E21" s="3" t="s">
        <v>882</v>
      </c>
      <c r="F21" s="3" t="s">
        <v>882</v>
      </c>
      <c r="G21" s="3" t="s">
        <v>882</v>
      </c>
      <c r="H21" s="3" t="s">
        <v>882</v>
      </c>
      <c r="I21" s="3" t="s">
        <v>882</v>
      </c>
      <c r="J21" s="3" t="s">
        <v>882</v>
      </c>
      <c r="K21" s="3" t="s">
        <v>882</v>
      </c>
      <c r="L21" s="3" t="s">
        <v>882</v>
      </c>
      <c r="M21" s="3" t="s">
        <v>882</v>
      </c>
      <c r="N21" s="3" t="s">
        <v>882</v>
      </c>
      <c r="O21" s="3" t="s">
        <v>882</v>
      </c>
      <c r="P21" s="3" t="s">
        <v>882</v>
      </c>
      <c r="Q21" s="3" t="s">
        <v>882</v>
      </c>
      <c r="R21" s="3" t="s">
        <v>882</v>
      </c>
      <c r="S21" s="3" t="s">
        <v>882</v>
      </c>
      <c r="T21" s="3" t="s">
        <v>882</v>
      </c>
    </row>
    <row r="22" spans="1:20" outlineLevel="1">
      <c r="C22" s="5" t="s">
        <v>883</v>
      </c>
      <c r="D22" s="5" t="s">
        <v>883</v>
      </c>
      <c r="E22" s="5" t="s">
        <v>883</v>
      </c>
      <c r="F22" s="5" t="s">
        <v>883</v>
      </c>
      <c r="G22" s="5" t="s">
        <v>883</v>
      </c>
      <c r="H22" s="5" t="s">
        <v>883</v>
      </c>
      <c r="I22" s="5" t="s">
        <v>883</v>
      </c>
      <c r="J22" s="5" t="s">
        <v>883</v>
      </c>
      <c r="K22" s="5" t="s">
        <v>883</v>
      </c>
      <c r="L22" s="5" t="s">
        <v>883</v>
      </c>
      <c r="M22" s="5" t="s">
        <v>883</v>
      </c>
      <c r="N22" s="5" t="s">
        <v>883</v>
      </c>
      <c r="O22" s="5" t="s">
        <v>883</v>
      </c>
      <c r="P22" s="5" t="s">
        <v>883</v>
      </c>
      <c r="Q22" s="5" t="s">
        <v>883</v>
      </c>
      <c r="R22" s="5" t="s">
        <v>883</v>
      </c>
      <c r="S22" s="5" t="s">
        <v>883</v>
      </c>
      <c r="T22" s="5" t="s">
        <v>883</v>
      </c>
    </row>
    <row r="23" spans="1:20" outlineLevel="1">
      <c r="C23" s="4" t="s">
        <v>884</v>
      </c>
      <c r="D23" s="4" t="s">
        <v>884</v>
      </c>
      <c r="E23" s="4" t="s">
        <v>884</v>
      </c>
      <c r="F23" s="4" t="s">
        <v>884</v>
      </c>
      <c r="G23" s="4" t="s">
        <v>884</v>
      </c>
      <c r="H23" s="4" t="s">
        <v>884</v>
      </c>
      <c r="I23" s="4" t="s">
        <v>884</v>
      </c>
      <c r="J23" s="4" t="s">
        <v>884</v>
      </c>
      <c r="K23" s="4" t="s">
        <v>884</v>
      </c>
      <c r="L23" s="4" t="s">
        <v>884</v>
      </c>
      <c r="M23" s="4" t="s">
        <v>884</v>
      </c>
      <c r="N23" s="4" t="s">
        <v>884</v>
      </c>
      <c r="O23" s="4" t="s">
        <v>884</v>
      </c>
      <c r="P23" s="4" t="s">
        <v>884</v>
      </c>
      <c r="Q23" s="4" t="s">
        <v>884</v>
      </c>
      <c r="R23" s="4" t="s">
        <v>884</v>
      </c>
      <c r="S23" s="4" t="s">
        <v>884</v>
      </c>
      <c r="T23" s="4" t="s">
        <v>884</v>
      </c>
    </row>
    <row r="24" spans="1:20" outlineLevel="1">
      <c r="C24" s="3" t="s">
        <v>885</v>
      </c>
      <c r="D24" s="3" t="s">
        <v>885</v>
      </c>
      <c r="E24" s="3" t="s">
        <v>885</v>
      </c>
      <c r="F24" s="3" t="s">
        <v>885</v>
      </c>
      <c r="G24" s="3" t="s">
        <v>885</v>
      </c>
      <c r="H24" s="3" t="s">
        <v>885</v>
      </c>
      <c r="I24" s="3" t="s">
        <v>885</v>
      </c>
      <c r="J24" s="3" t="s">
        <v>885</v>
      </c>
      <c r="K24" s="3" t="s">
        <v>885</v>
      </c>
      <c r="L24" s="3" t="s">
        <v>885</v>
      </c>
      <c r="M24" s="3" t="s">
        <v>885</v>
      </c>
      <c r="N24" s="3" t="s">
        <v>885</v>
      </c>
      <c r="O24" s="3" t="s">
        <v>885</v>
      </c>
      <c r="P24" s="3" t="s">
        <v>885</v>
      </c>
      <c r="Q24" s="3" t="s">
        <v>885</v>
      </c>
      <c r="R24" s="3" t="s">
        <v>885</v>
      </c>
      <c r="S24" s="3" t="s">
        <v>885</v>
      </c>
      <c r="T24" s="3" t="s">
        <v>885</v>
      </c>
    </row>
    <row r="25" spans="1:20" outlineLevel="1">
      <c r="C25" s="2" t="s">
        <v>886</v>
      </c>
      <c r="D25" s="2" t="s">
        <v>886</v>
      </c>
      <c r="E25" s="2" t="s">
        <v>886</v>
      </c>
      <c r="F25" s="2" t="s">
        <v>886</v>
      </c>
      <c r="G25" s="2" t="s">
        <v>886</v>
      </c>
      <c r="H25" s="2" t="s">
        <v>886</v>
      </c>
      <c r="I25" s="2" t="s">
        <v>886</v>
      </c>
      <c r="J25" s="2" t="s">
        <v>886</v>
      </c>
      <c r="K25" s="2" t="s">
        <v>886</v>
      </c>
      <c r="L25" s="2" t="s">
        <v>886</v>
      </c>
      <c r="M25" s="2" t="s">
        <v>886</v>
      </c>
      <c r="N25" s="2" t="s">
        <v>886</v>
      </c>
      <c r="O25" s="2" t="s">
        <v>886</v>
      </c>
      <c r="P25" s="2" t="s">
        <v>886</v>
      </c>
      <c r="Q25" s="2" t="s">
        <v>886</v>
      </c>
      <c r="R25" s="2" t="s">
        <v>886</v>
      </c>
      <c r="S25" s="2" t="s">
        <v>886</v>
      </c>
      <c r="T25" s="2" t="s">
        <v>886</v>
      </c>
    </row>
    <row r="26" spans="1:20" outlineLevel="1">
      <c r="C26" s="2" t="s">
        <v>887</v>
      </c>
      <c r="D26" s="2" t="s">
        <v>887</v>
      </c>
      <c r="E26" s="2" t="s">
        <v>887</v>
      </c>
      <c r="F26" s="2" t="s">
        <v>887</v>
      </c>
      <c r="G26" s="2" t="s">
        <v>887</v>
      </c>
      <c r="H26" s="2" t="s">
        <v>887</v>
      </c>
      <c r="I26" s="2" t="s">
        <v>887</v>
      </c>
      <c r="J26" s="2" t="s">
        <v>887</v>
      </c>
      <c r="K26" s="2" t="s">
        <v>887</v>
      </c>
      <c r="L26" s="2" t="s">
        <v>887</v>
      </c>
      <c r="M26" s="2" t="s">
        <v>887</v>
      </c>
      <c r="N26" s="2" t="s">
        <v>887</v>
      </c>
      <c r="O26" s="2" t="s">
        <v>887</v>
      </c>
      <c r="P26" s="2" t="s">
        <v>887</v>
      </c>
      <c r="Q26" s="2" t="s">
        <v>887</v>
      </c>
      <c r="R26" s="2" t="s">
        <v>887</v>
      </c>
      <c r="S26" s="2" t="s">
        <v>887</v>
      </c>
      <c r="T26" s="2" t="s">
        <v>887</v>
      </c>
    </row>
    <row r="27" spans="1:20" outlineLevel="1">
      <c r="C27" s="2" t="s">
        <v>888</v>
      </c>
      <c r="D27" s="2" t="s">
        <v>888</v>
      </c>
      <c r="E27" s="2" t="s">
        <v>888</v>
      </c>
      <c r="F27" s="2" t="s">
        <v>888</v>
      </c>
      <c r="G27" s="2" t="s">
        <v>888</v>
      </c>
      <c r="H27" s="2" t="s">
        <v>888</v>
      </c>
      <c r="I27" s="2" t="s">
        <v>888</v>
      </c>
      <c r="J27" s="2" t="s">
        <v>888</v>
      </c>
      <c r="K27" s="2" t="s">
        <v>888</v>
      </c>
      <c r="L27" s="2" t="s">
        <v>888</v>
      </c>
      <c r="M27" s="2" t="s">
        <v>888</v>
      </c>
      <c r="N27" s="2" t="s">
        <v>888</v>
      </c>
      <c r="O27" s="2" t="s">
        <v>888</v>
      </c>
      <c r="P27" s="2" t="s">
        <v>888</v>
      </c>
      <c r="Q27" s="2" t="s">
        <v>888</v>
      </c>
      <c r="R27" s="2" t="s">
        <v>888</v>
      </c>
      <c r="S27" s="2" t="s">
        <v>888</v>
      </c>
      <c r="T27" s="2" t="s">
        <v>888</v>
      </c>
    </row>
    <row r="28" spans="1:20" outlineLevel="1">
      <c r="C28" s="2" t="s">
        <v>889</v>
      </c>
      <c r="D28" s="2" t="s">
        <v>889</v>
      </c>
      <c r="E28" s="2" t="s">
        <v>889</v>
      </c>
      <c r="F28" s="2" t="s">
        <v>889</v>
      </c>
      <c r="G28" s="2" t="s">
        <v>889</v>
      </c>
      <c r="H28" s="2" t="s">
        <v>889</v>
      </c>
      <c r="I28" s="2" t="s">
        <v>889</v>
      </c>
      <c r="J28" s="2" t="s">
        <v>889</v>
      </c>
      <c r="K28" s="2" t="s">
        <v>889</v>
      </c>
      <c r="L28" s="2" t="s">
        <v>889</v>
      </c>
      <c r="M28" s="2" t="s">
        <v>889</v>
      </c>
      <c r="N28" s="2" t="s">
        <v>889</v>
      </c>
      <c r="O28" s="2" t="s">
        <v>889</v>
      </c>
      <c r="P28" s="2" t="s">
        <v>889</v>
      </c>
      <c r="Q28" s="2" t="s">
        <v>889</v>
      </c>
      <c r="R28" s="2" t="s">
        <v>889</v>
      </c>
      <c r="S28" s="2" t="s">
        <v>889</v>
      </c>
      <c r="T28" s="2" t="s">
        <v>889</v>
      </c>
    </row>
    <row r="29" spans="1:20" outlineLevel="1">
      <c r="C29" s="2" t="s">
        <v>890</v>
      </c>
      <c r="D29" s="2" t="s">
        <v>890</v>
      </c>
      <c r="E29" s="2" t="s">
        <v>890</v>
      </c>
      <c r="F29" s="2" t="s">
        <v>890</v>
      </c>
      <c r="G29" s="2" t="s">
        <v>890</v>
      </c>
      <c r="H29" s="2" t="s">
        <v>890</v>
      </c>
      <c r="I29" s="2" t="s">
        <v>890</v>
      </c>
      <c r="J29" s="2" t="s">
        <v>890</v>
      </c>
      <c r="K29" s="2" t="s">
        <v>890</v>
      </c>
      <c r="L29" s="2" t="s">
        <v>890</v>
      </c>
      <c r="M29" s="2" t="s">
        <v>890</v>
      </c>
      <c r="N29" s="2" t="s">
        <v>890</v>
      </c>
      <c r="O29" s="2" t="s">
        <v>890</v>
      </c>
      <c r="P29" s="2" t="s">
        <v>890</v>
      </c>
      <c r="Q29" s="2" t="s">
        <v>890</v>
      </c>
      <c r="R29" s="2" t="s">
        <v>890</v>
      </c>
      <c r="S29" s="2" t="s">
        <v>890</v>
      </c>
      <c r="T29" s="2" t="s">
        <v>890</v>
      </c>
    </row>
    <row r="30" spans="1:20">
      <c r="A30" t="s">
        <v>2341</v>
      </c>
      <c r="B30" t="str">
        <f>+C30</f>
        <v xml:space="preserve"> &lt;title&gt;JimTD Day01&lt;/title&gt;</v>
      </c>
      <c r="C30" s="2" t="s">
        <v>891</v>
      </c>
      <c r="D30" s="2" t="s">
        <v>1004</v>
      </c>
      <c r="E30" s="2" t="s">
        <v>1115</v>
      </c>
      <c r="F30" s="2" t="s">
        <v>1260</v>
      </c>
      <c r="G30" s="2" t="s">
        <v>1173</v>
      </c>
      <c r="H30" s="2" t="s">
        <v>1352</v>
      </c>
      <c r="I30" s="2" t="s">
        <v>1421</v>
      </c>
      <c r="J30" s="2" t="s">
        <v>1545</v>
      </c>
      <c r="K30" s="2" t="s">
        <v>1623</v>
      </c>
      <c r="L30" s="2" t="s">
        <v>1717</v>
      </c>
      <c r="M30" s="2" t="s">
        <v>1773</v>
      </c>
      <c r="N30" s="2" t="s">
        <v>1461</v>
      </c>
      <c r="O30" s="2" t="s">
        <v>2336</v>
      </c>
      <c r="P30" s="2" t="s">
        <v>1883</v>
      </c>
      <c r="Q30" s="2" t="s">
        <v>1959</v>
      </c>
      <c r="R30" s="2" t="s">
        <v>2047</v>
      </c>
      <c r="S30" s="2" t="s">
        <v>2154</v>
      </c>
      <c r="T30" s="2" t="s">
        <v>2247</v>
      </c>
    </row>
    <row r="31" spans="1:20">
      <c r="C31" s="3" t="s">
        <v>892</v>
      </c>
      <c r="D31" s="3" t="s">
        <v>892</v>
      </c>
      <c r="E31" s="3" t="s">
        <v>892</v>
      </c>
      <c r="F31" s="3" t="s">
        <v>892</v>
      </c>
      <c r="G31" s="3" t="s">
        <v>892</v>
      </c>
      <c r="H31" s="3" t="s">
        <v>892</v>
      </c>
      <c r="I31" s="3" t="s">
        <v>892</v>
      </c>
      <c r="J31" s="3" t="s">
        <v>892</v>
      </c>
      <c r="K31" s="3" t="s">
        <v>892</v>
      </c>
      <c r="L31" s="3" t="s">
        <v>892</v>
      </c>
      <c r="M31" s="3" t="s">
        <v>892</v>
      </c>
      <c r="N31" s="3" t="s">
        <v>892</v>
      </c>
      <c r="O31" s="3" t="s">
        <v>892</v>
      </c>
      <c r="P31" s="3" t="s">
        <v>892</v>
      </c>
      <c r="Q31" s="3" t="s">
        <v>892</v>
      </c>
      <c r="R31" s="3" t="s">
        <v>892</v>
      </c>
      <c r="S31" s="3" t="s">
        <v>892</v>
      </c>
      <c r="T31" s="3" t="s">
        <v>892</v>
      </c>
    </row>
    <row r="32" spans="1:20">
      <c r="C32" s="3" t="s">
        <v>893</v>
      </c>
      <c r="D32" s="3" t="s">
        <v>893</v>
      </c>
      <c r="E32" s="3" t="s">
        <v>893</v>
      </c>
      <c r="F32" s="3" t="s">
        <v>893</v>
      </c>
      <c r="G32" s="3" t="s">
        <v>893</v>
      </c>
      <c r="H32" s="3" t="s">
        <v>893</v>
      </c>
      <c r="I32" s="3" t="s">
        <v>893</v>
      </c>
      <c r="J32" s="3" t="s">
        <v>893</v>
      </c>
      <c r="K32" s="3" t="s">
        <v>893</v>
      </c>
      <c r="L32" s="3" t="s">
        <v>893</v>
      </c>
      <c r="M32" s="3" t="s">
        <v>893</v>
      </c>
      <c r="N32" s="3" t="s">
        <v>893</v>
      </c>
      <c r="O32" s="3" t="s">
        <v>893</v>
      </c>
      <c r="P32" s="3" t="s">
        <v>893</v>
      </c>
      <c r="Q32" s="3" t="s">
        <v>893</v>
      </c>
      <c r="R32" s="3" t="s">
        <v>893</v>
      </c>
      <c r="S32" s="3" t="s">
        <v>893</v>
      </c>
      <c r="T32" s="3" t="s">
        <v>893</v>
      </c>
    </row>
    <row r="33" spans="1:20">
      <c r="C33" s="2" t="s">
        <v>894</v>
      </c>
      <c r="D33" s="2" t="s">
        <v>894</v>
      </c>
      <c r="E33" s="2" t="s">
        <v>894</v>
      </c>
      <c r="F33" s="2" t="s">
        <v>894</v>
      </c>
      <c r="G33" s="2" t="s">
        <v>894</v>
      </c>
      <c r="H33" s="2" t="s">
        <v>894</v>
      </c>
      <c r="I33" s="2" t="s">
        <v>894</v>
      </c>
      <c r="J33" s="2" t="s">
        <v>894</v>
      </c>
      <c r="K33" s="2" t="s">
        <v>894</v>
      </c>
      <c r="L33" s="2" t="s">
        <v>894</v>
      </c>
      <c r="M33" s="2" t="s">
        <v>894</v>
      </c>
      <c r="N33" s="2" t="s">
        <v>894</v>
      </c>
      <c r="O33" s="2" t="s">
        <v>894</v>
      </c>
      <c r="P33" s="2" t="s">
        <v>894</v>
      </c>
      <c r="Q33" s="2" t="s">
        <v>894</v>
      </c>
      <c r="R33" s="2" t="s">
        <v>894</v>
      </c>
      <c r="S33" s="2" t="s">
        <v>894</v>
      </c>
      <c r="T33" s="2" t="s">
        <v>894</v>
      </c>
    </row>
    <row r="34" spans="1:20">
      <c r="C34" s="3" t="s">
        <v>895</v>
      </c>
      <c r="D34" s="3" t="s">
        <v>895</v>
      </c>
      <c r="E34" s="3" t="s">
        <v>895</v>
      </c>
      <c r="F34" s="3" t="s">
        <v>895</v>
      </c>
      <c r="G34" s="3" t="s">
        <v>895</v>
      </c>
      <c r="H34" s="3" t="s">
        <v>895</v>
      </c>
      <c r="I34" s="3" t="s">
        <v>895</v>
      </c>
      <c r="J34" s="3" t="s">
        <v>895</v>
      </c>
      <c r="K34" s="3" t="s">
        <v>895</v>
      </c>
      <c r="L34" s="3" t="s">
        <v>895</v>
      </c>
      <c r="M34" s="3" t="s">
        <v>895</v>
      </c>
      <c r="N34" s="3" t="s">
        <v>895</v>
      </c>
      <c r="O34" s="3" t="s">
        <v>895</v>
      </c>
      <c r="P34" s="3" t="s">
        <v>895</v>
      </c>
      <c r="Q34" s="3" t="s">
        <v>895</v>
      </c>
      <c r="R34" s="3" t="s">
        <v>895</v>
      </c>
      <c r="S34" s="3" t="s">
        <v>895</v>
      </c>
      <c r="T34" s="3" t="s">
        <v>895</v>
      </c>
    </row>
    <row r="35" spans="1:20">
      <c r="C35" s="2" t="s">
        <v>896</v>
      </c>
      <c r="D35" s="2" t="s">
        <v>896</v>
      </c>
      <c r="E35" s="2" t="s">
        <v>896</v>
      </c>
      <c r="F35" s="2" t="s">
        <v>896</v>
      </c>
      <c r="G35" s="2" t="s">
        <v>896</v>
      </c>
      <c r="H35" s="2" t="s">
        <v>896</v>
      </c>
      <c r="I35" s="2" t="s">
        <v>896</v>
      </c>
      <c r="J35" s="2" t="s">
        <v>896</v>
      </c>
      <c r="K35" s="2" t="s">
        <v>896</v>
      </c>
      <c r="L35" s="2" t="s">
        <v>896</v>
      </c>
      <c r="M35" s="2" t="s">
        <v>896</v>
      </c>
      <c r="N35" s="2" t="s">
        <v>896</v>
      </c>
      <c r="O35" s="2" t="s">
        <v>896</v>
      </c>
      <c r="P35" s="2" t="s">
        <v>896</v>
      </c>
      <c r="Q35" s="2" t="s">
        <v>896</v>
      </c>
      <c r="R35" s="2" t="s">
        <v>896</v>
      </c>
      <c r="S35" s="2" t="s">
        <v>896</v>
      </c>
      <c r="T35" s="2" t="s">
        <v>896</v>
      </c>
    </row>
    <row r="36" spans="1:20">
      <c r="C36" s="2" t="s">
        <v>897</v>
      </c>
      <c r="D36" s="2" t="s">
        <v>897</v>
      </c>
      <c r="E36" s="2" t="s">
        <v>897</v>
      </c>
      <c r="F36" s="2" t="s">
        <v>897</v>
      </c>
      <c r="G36" s="2" t="s">
        <v>897</v>
      </c>
      <c r="H36" s="2" t="s">
        <v>897</v>
      </c>
      <c r="I36" s="2" t="s">
        <v>897</v>
      </c>
      <c r="J36" s="2" t="s">
        <v>897</v>
      </c>
      <c r="K36" s="2" t="s">
        <v>897</v>
      </c>
      <c r="L36" s="2" t="s">
        <v>897</v>
      </c>
      <c r="M36" s="2" t="s">
        <v>897</v>
      </c>
      <c r="N36" s="2" t="s">
        <v>897</v>
      </c>
      <c r="O36" s="2" t="s">
        <v>897</v>
      </c>
      <c r="P36" s="2" t="s">
        <v>897</v>
      </c>
      <c r="Q36" s="2" t="s">
        <v>897</v>
      </c>
      <c r="R36" s="2" t="s">
        <v>897</v>
      </c>
      <c r="S36" s="2" t="s">
        <v>897</v>
      </c>
      <c r="T36" s="2" t="s">
        <v>897</v>
      </c>
    </row>
    <row r="37" spans="1:20">
      <c r="C37" s="2"/>
      <c r="D37" s="2"/>
      <c r="E37" s="2"/>
      <c r="F37" s="2"/>
      <c r="G37" s="2"/>
      <c r="H37" s="2"/>
      <c r="I37" s="2"/>
      <c r="J37" s="2"/>
      <c r="K37" s="2"/>
      <c r="L37" s="2"/>
      <c r="M37" s="2"/>
      <c r="N37" s="2"/>
      <c r="O37" s="2"/>
      <c r="P37" s="2"/>
      <c r="Q37" s="6"/>
      <c r="R37" s="2"/>
      <c r="S37" s="2"/>
      <c r="T37" s="2"/>
    </row>
    <row r="38" spans="1:20">
      <c r="C38" s="2"/>
      <c r="D38" s="2"/>
      <c r="E38" s="2"/>
      <c r="F38" s="2"/>
      <c r="G38" s="2"/>
      <c r="H38" s="2"/>
      <c r="I38" s="2"/>
      <c r="J38" s="2"/>
      <c r="K38" s="2"/>
      <c r="L38" s="2"/>
      <c r="M38" s="2"/>
      <c r="N38" s="2"/>
      <c r="O38" s="2"/>
      <c r="P38" s="2"/>
      <c r="Q38" s="3" t="s">
        <v>1960</v>
      </c>
      <c r="R38" s="2"/>
      <c r="S38" s="2"/>
      <c r="T38" s="2"/>
    </row>
    <row r="40" spans="1:20">
      <c r="A40" t="s">
        <v>2340</v>
      </c>
      <c r="B40" t="str">
        <f>+C40</f>
        <v>('../img/tourdivide/day01/day01pic02.jpg')</v>
      </c>
      <c r="C40" t="s">
        <v>2374</v>
      </c>
      <c r="D40" t="s">
        <v>2375</v>
      </c>
      <c r="E40" t="s">
        <v>2376</v>
      </c>
      <c r="F40" t="s">
        <v>2390</v>
      </c>
      <c r="G40" t="s">
        <v>2391</v>
      </c>
      <c r="H40" t="s">
        <v>2377</v>
      </c>
      <c r="I40" t="s">
        <v>2378</v>
      </c>
      <c r="J40" t="s">
        <v>2379</v>
      </c>
      <c r="K40" t="s">
        <v>2380</v>
      </c>
      <c r="L40" t="s">
        <v>2381</v>
      </c>
      <c r="M40" t="s">
        <v>2382</v>
      </c>
      <c r="N40" t="s">
        <v>2383</v>
      </c>
      <c r="O40" t="s">
        <v>2384</v>
      </c>
      <c r="P40" t="s">
        <v>2385</v>
      </c>
      <c r="Q40" t="s">
        <v>2386</v>
      </c>
      <c r="R40" t="s">
        <v>2387</v>
      </c>
      <c r="S40" t="s">
        <v>2388</v>
      </c>
      <c r="T40" t="s">
        <v>2389</v>
      </c>
    </row>
    <row r="41" spans="1:20">
      <c r="C41" s="3"/>
      <c r="D41" s="3"/>
      <c r="E41" s="3"/>
      <c r="F41" s="3"/>
      <c r="G41" s="3"/>
      <c r="H41" s="3"/>
      <c r="I41" s="3"/>
      <c r="J41" s="3"/>
      <c r="K41" s="3"/>
      <c r="L41" s="3"/>
      <c r="M41" s="3"/>
      <c r="N41" s="3"/>
      <c r="O41" s="3"/>
      <c r="P41" s="3"/>
      <c r="Q41" s="3"/>
      <c r="R41" s="3"/>
      <c r="S41" s="3"/>
      <c r="T41" s="3"/>
    </row>
    <row r="42" spans="1:20">
      <c r="C42" s="3"/>
      <c r="D42" s="3"/>
      <c r="E42" s="3"/>
      <c r="F42" s="3"/>
      <c r="G42" s="3"/>
      <c r="H42" s="3"/>
      <c r="I42" s="3"/>
      <c r="J42" s="3"/>
      <c r="K42" s="3"/>
      <c r="L42" s="3"/>
      <c r="M42" s="3"/>
      <c r="N42" s="3"/>
      <c r="O42" s="3"/>
      <c r="P42" s="3"/>
      <c r="Q42" s="3"/>
      <c r="R42" s="3"/>
      <c r="S42" s="3"/>
      <c r="T42" s="3"/>
    </row>
    <row r="43" spans="1:20">
      <c r="C43" s="3"/>
      <c r="D43" s="3"/>
      <c r="E43" s="3"/>
      <c r="F43" s="3"/>
      <c r="G43" s="3"/>
      <c r="H43" s="3"/>
      <c r="I43" s="3"/>
      <c r="J43" s="3"/>
      <c r="K43" s="3"/>
      <c r="L43" s="3"/>
      <c r="M43" s="3"/>
      <c r="N43" s="3"/>
      <c r="O43" s="3"/>
      <c r="P43" s="3"/>
      <c r="Q43" s="3"/>
      <c r="R43" s="3"/>
      <c r="S43" s="3"/>
      <c r="T43" s="3"/>
    </row>
    <row r="45" spans="1:20">
      <c r="A45" t="s">
        <v>2337</v>
      </c>
      <c r="B45" t="str">
        <f>+C45</f>
        <v>Day 1 - Leaving Banff was the easy part.</v>
      </c>
      <c r="C45" s="3" t="s">
        <v>438</v>
      </c>
      <c r="D45" s="3" t="s">
        <v>442</v>
      </c>
      <c r="E45" s="3" t="s">
        <v>2393</v>
      </c>
      <c r="F45" s="3" t="s">
        <v>450</v>
      </c>
      <c r="G45" s="3" t="s">
        <v>2394</v>
      </c>
      <c r="H45" s="3" t="s">
        <v>2395</v>
      </c>
      <c r="I45" s="3" t="s">
        <v>461</v>
      </c>
      <c r="J45" s="3" t="s">
        <v>465</v>
      </c>
      <c r="K45" s="3" t="s">
        <v>2396</v>
      </c>
      <c r="L45" s="3" t="s">
        <v>473</v>
      </c>
      <c r="M45" s="3" t="s">
        <v>2392</v>
      </c>
      <c r="N45" s="3" t="s">
        <v>481</v>
      </c>
      <c r="O45" s="3" t="s">
        <v>485</v>
      </c>
      <c r="P45" s="3" t="s">
        <v>489</v>
      </c>
      <c r="Q45" s="3" t="s">
        <v>351</v>
      </c>
      <c r="R45" s="3" t="s">
        <v>355</v>
      </c>
      <c r="S45" s="3" t="s">
        <v>359</v>
      </c>
      <c r="T45" s="3" t="s">
        <v>363</v>
      </c>
    </row>
    <row r="46" spans="1:20">
      <c r="C46" s="3"/>
      <c r="D46" s="3"/>
      <c r="E46" s="3"/>
      <c r="F46" s="3"/>
      <c r="G46" s="3"/>
      <c r="H46" s="3"/>
      <c r="I46" s="3"/>
      <c r="J46" s="3"/>
      <c r="K46" s="3"/>
      <c r="L46" s="3"/>
      <c r="M46" s="3"/>
      <c r="N46" s="3"/>
      <c r="O46" s="3"/>
      <c r="P46" s="3"/>
      <c r="Q46" s="3"/>
    </row>
    <row r="47" spans="1:20">
      <c r="C47" s="3"/>
      <c r="D47" s="3"/>
      <c r="E47" s="3"/>
      <c r="F47" s="3"/>
      <c r="G47" s="3"/>
      <c r="H47" s="3"/>
      <c r="I47" s="3"/>
      <c r="J47" s="3"/>
      <c r="K47" s="3"/>
      <c r="L47" s="3"/>
      <c r="M47" s="3"/>
      <c r="N47" s="3"/>
      <c r="O47" s="3"/>
      <c r="P47" s="3"/>
      <c r="Q47" s="3"/>
      <c r="R47" s="3"/>
      <c r="S47" s="3"/>
      <c r="T47" s="3"/>
    </row>
    <row r="48" spans="1:20">
      <c r="A48" t="s">
        <v>2338</v>
      </c>
      <c r="B48" t="str">
        <f>TRIM(C48)</f>
        <v>Those trails didnt look so steep on the map</v>
      </c>
      <c r="C48" s="3" t="s">
        <v>2397</v>
      </c>
      <c r="D48" s="3" t="s">
        <v>2398</v>
      </c>
      <c r="E48" s="3" t="s">
        <v>447</v>
      </c>
      <c r="F48" s="3" t="s">
        <v>2399</v>
      </c>
      <c r="G48" s="3" t="s">
        <v>2400</v>
      </c>
      <c r="H48" s="3" t="s">
        <v>2401</v>
      </c>
      <c r="I48" s="3" t="s">
        <v>462</v>
      </c>
      <c r="J48" s="3" t="s">
        <v>466</v>
      </c>
      <c r="K48" s="3" t="s">
        <v>470</v>
      </c>
      <c r="L48" s="3" t="s">
        <v>474</v>
      </c>
      <c r="M48" s="3" t="s">
        <v>478</v>
      </c>
      <c r="N48" s="3" t="s">
        <v>482</v>
      </c>
      <c r="O48" s="3" t="s">
        <v>486</v>
      </c>
      <c r="P48" s="3" t="s">
        <v>2402</v>
      </c>
      <c r="Q48" s="3" t="s">
        <v>352</v>
      </c>
      <c r="R48" s="3" t="s">
        <v>356</v>
      </c>
      <c r="S48" s="3" t="s">
        <v>360</v>
      </c>
      <c r="T48" s="3" t="s">
        <v>364</v>
      </c>
    </row>
    <row r="49" spans="1:20">
      <c r="C49" s="3"/>
      <c r="D49" s="3"/>
      <c r="E49" s="3"/>
      <c r="F49" s="3"/>
      <c r="G49" s="3"/>
      <c r="H49" s="3"/>
      <c r="I49" s="3"/>
      <c r="J49" s="3"/>
      <c r="K49" s="3"/>
      <c r="L49" s="3" t="s">
        <v>1719</v>
      </c>
      <c r="M49" s="3" t="s">
        <v>1719</v>
      </c>
      <c r="N49" s="3"/>
      <c r="P49" s="3"/>
    </row>
    <row r="50" spans="1:20">
      <c r="C50" s="3"/>
      <c r="D50" s="3"/>
      <c r="E50" s="3"/>
      <c r="F50" s="3"/>
      <c r="G50" s="3"/>
      <c r="H50" s="3"/>
      <c r="I50" s="3"/>
      <c r="J50" s="3"/>
      <c r="K50" s="3"/>
      <c r="L50" s="3"/>
      <c r="M50" s="3"/>
      <c r="N50" s="3"/>
      <c r="O50" s="3" t="s">
        <v>1719</v>
      </c>
      <c r="P50" s="3"/>
      <c r="Q50" s="3" t="s">
        <v>1719</v>
      </c>
      <c r="R50" s="3" t="s">
        <v>1719</v>
      </c>
      <c r="S50" s="3" t="s">
        <v>1719</v>
      </c>
      <c r="T50" s="3" t="s">
        <v>1719</v>
      </c>
    </row>
    <row r="51" spans="1:20">
      <c r="B51" t="str">
        <f>+C51</f>
        <v xml:space="preserve">     &lt;span class="meta"&gt;Posted by &lt;a href="#"&gt;Jim O'Brien&lt;/a&gt;  &lt;br&gt;</v>
      </c>
      <c r="C51" s="3" t="s">
        <v>900</v>
      </c>
      <c r="D51" s="3" t="s">
        <v>1005</v>
      </c>
      <c r="E51" s="3" t="s">
        <v>1005</v>
      </c>
      <c r="F51" s="3" t="s">
        <v>1005</v>
      </c>
      <c r="G51" s="3" t="s">
        <v>1005</v>
      </c>
      <c r="H51" s="3" t="s">
        <v>1005</v>
      </c>
      <c r="I51" s="3" t="s">
        <v>1005</v>
      </c>
      <c r="J51" s="3" t="s">
        <v>1005</v>
      </c>
      <c r="K51" s="3" t="s">
        <v>1462</v>
      </c>
      <c r="L51" s="3" t="s">
        <v>1462</v>
      </c>
      <c r="M51" s="3" t="s">
        <v>1462</v>
      </c>
      <c r="N51" s="3" t="s">
        <v>1462</v>
      </c>
      <c r="O51" s="3" t="s">
        <v>1462</v>
      </c>
      <c r="P51" s="3" t="s">
        <v>1462</v>
      </c>
      <c r="Q51" s="3" t="s">
        <v>1462</v>
      </c>
      <c r="R51" s="3" t="s">
        <v>1462</v>
      </c>
      <c r="S51" s="3" t="s">
        <v>1462</v>
      </c>
      <c r="T51" s="3" t="s">
        <v>1462</v>
      </c>
    </row>
    <row r="52" spans="1:20">
      <c r="C52" s="3"/>
      <c r="D52" s="3"/>
      <c r="E52" s="3"/>
      <c r="F52" s="3"/>
      <c r="G52" s="3"/>
      <c r="H52" s="3"/>
      <c r="I52" s="3"/>
      <c r="J52" s="3"/>
      <c r="K52" s="3"/>
      <c r="L52" s="3"/>
      <c r="M52" s="3"/>
      <c r="N52" s="3"/>
      <c r="O52" s="3"/>
      <c r="P52" s="3"/>
      <c r="Q52" s="3"/>
      <c r="R52" s="3"/>
      <c r="S52" s="3" t="str">
        <f t="shared" ref="S52:T52" si="3">TRIM(S53)</f>
        <v>Thursday, June 25, 2015 Flagg Ranch to Lava Mountain Lodge, WY</v>
      </c>
      <c r="T52" s="3" t="str">
        <f t="shared" si="3"/>
        <v>Friday, June 26, 2015 Lava Mountain Lodge to Pinedale, WY</v>
      </c>
    </row>
    <row r="53" spans="1:20">
      <c r="A53" t="s">
        <v>2373</v>
      </c>
      <c r="B53" t="str">
        <f>TRIM(C53)</f>
        <v>Day 1. Tuesday, June 9, 2015 Banff, Alberta, Canada to Bolton Trading Post&lt;/span&gt;</v>
      </c>
      <c r="C53" s="3" t="s">
        <v>2403</v>
      </c>
      <c r="D53" s="3" t="s">
        <v>2404</v>
      </c>
      <c r="E53" s="3" t="s">
        <v>2405</v>
      </c>
      <c r="F53" s="3" t="s">
        <v>2406</v>
      </c>
      <c r="G53" s="3" t="s">
        <v>2407</v>
      </c>
      <c r="H53" s="3" t="s">
        <v>2408</v>
      </c>
      <c r="I53" s="3" t="s">
        <v>2409</v>
      </c>
      <c r="J53" s="3" t="s">
        <v>2410</v>
      </c>
      <c r="K53" s="3" t="s">
        <v>2411</v>
      </c>
      <c r="L53" s="3" t="s">
        <v>2412</v>
      </c>
      <c r="M53" s="3" t="s">
        <v>2413</v>
      </c>
      <c r="N53" s="3" t="s">
        <v>2414</v>
      </c>
      <c r="O53" s="3" t="s">
        <v>2415</v>
      </c>
      <c r="P53" s="3" t="s">
        <v>2416</v>
      </c>
      <c r="Q53" s="3" t="s">
        <v>2417</v>
      </c>
      <c r="R53" s="3" t="s">
        <v>357</v>
      </c>
      <c r="S53" s="3" t="s">
        <v>361</v>
      </c>
      <c r="T53" s="3" t="s">
        <v>365</v>
      </c>
    </row>
    <row r="54" spans="1:20">
      <c r="C54" s="3"/>
      <c r="D54" s="3"/>
      <c r="E54" s="3"/>
      <c r="F54" s="3"/>
      <c r="G54" s="3"/>
      <c r="H54" s="3"/>
      <c r="I54" s="3"/>
      <c r="J54" s="3"/>
      <c r="K54" s="3"/>
      <c r="L54" s="3"/>
      <c r="M54" s="3"/>
      <c r="N54" s="3"/>
      <c r="O54" s="3"/>
      <c r="P54" s="3"/>
      <c r="Q54" s="3"/>
      <c r="R54" s="3"/>
      <c r="S54" s="3"/>
      <c r="T54" s="3"/>
    </row>
    <row r="55" spans="1:20">
      <c r="A55" t="s">
        <v>2339</v>
      </c>
      <c r="B55" t="str">
        <f>+C55</f>
        <v>9:59AM, 6h48min, 62.4 miles, 4,814 ft of climbing</v>
      </c>
      <c r="C55" s="3" t="s">
        <v>2418</v>
      </c>
      <c r="D55" s="3" t="s">
        <v>2419</v>
      </c>
      <c r="E55" s="3" t="s">
        <v>2420</v>
      </c>
      <c r="F55" s="3" t="s">
        <v>2421</v>
      </c>
      <c r="G55" s="3" t="s">
        <v>2422</v>
      </c>
      <c r="H55" s="3" t="s">
        <v>2423</v>
      </c>
      <c r="I55" s="3" t="s">
        <v>2424</v>
      </c>
      <c r="J55" s="3" t="s">
        <v>468</v>
      </c>
      <c r="K55" s="3" t="s">
        <v>2425</v>
      </c>
      <c r="L55" s="3" t="s">
        <v>2426</v>
      </c>
      <c r="M55" s="3" t="s">
        <v>2427</v>
      </c>
      <c r="N55" s="3" t="s">
        <v>2429</v>
      </c>
      <c r="O55" s="3" t="s">
        <v>2428</v>
      </c>
      <c r="P55" s="3" t="s">
        <v>492</v>
      </c>
      <c r="Q55" s="3" t="s">
        <v>354</v>
      </c>
      <c r="R55" s="3" t="s">
        <v>358</v>
      </c>
      <c r="S55" s="3" t="s">
        <v>362</v>
      </c>
      <c r="T55" s="3" t="s">
        <v>366</v>
      </c>
    </row>
    <row r="56" spans="1:20">
      <c r="C56" s="3" t="s">
        <v>901</v>
      </c>
      <c r="D56" s="3" t="s">
        <v>917</v>
      </c>
      <c r="E56" s="3" t="s">
        <v>917</v>
      </c>
      <c r="F56" s="3" t="s">
        <v>901</v>
      </c>
      <c r="G56" s="3" t="s">
        <v>901</v>
      </c>
      <c r="H56" s="3" t="s">
        <v>917</v>
      </c>
      <c r="I56" s="3" t="s">
        <v>917</v>
      </c>
      <c r="J56" s="3" t="s">
        <v>917</v>
      </c>
      <c r="K56" s="3" t="s">
        <v>917</v>
      </c>
      <c r="L56" s="3" t="s">
        <v>917</v>
      </c>
      <c r="M56" s="3" t="s">
        <v>917</v>
      </c>
      <c r="N56" s="3" t="s">
        <v>917</v>
      </c>
      <c r="O56" s="3" t="s">
        <v>917</v>
      </c>
      <c r="P56" s="3" t="s">
        <v>917</v>
      </c>
      <c r="Q56" s="3" t="s">
        <v>917</v>
      </c>
      <c r="R56" s="3" t="s">
        <v>917</v>
      </c>
      <c r="S56" s="3" t="s">
        <v>917</v>
      </c>
      <c r="T56" s="3" t="s">
        <v>917</v>
      </c>
    </row>
    <row r="57" spans="1:20">
      <c r="C57" s="2" t="s">
        <v>902</v>
      </c>
      <c r="D57" s="3" t="s">
        <v>1006</v>
      </c>
      <c r="E57" s="3" t="s">
        <v>1116</v>
      </c>
      <c r="F57" s="2" t="s">
        <v>902</v>
      </c>
      <c r="G57" s="2" t="s">
        <v>902</v>
      </c>
      <c r="H57" s="3" t="s">
        <v>1116</v>
      </c>
      <c r="I57" s="3" t="s">
        <v>1116</v>
      </c>
      <c r="J57" s="3" t="s">
        <v>1116</v>
      </c>
      <c r="K57" s="3" t="s">
        <v>1116</v>
      </c>
      <c r="L57" s="3" t="s">
        <v>1116</v>
      </c>
      <c r="M57" s="3" t="s">
        <v>1116</v>
      </c>
      <c r="N57" s="3" t="s">
        <v>1116</v>
      </c>
      <c r="O57" s="3" t="s">
        <v>1116</v>
      </c>
      <c r="P57" s="3" t="s">
        <v>1116</v>
      </c>
      <c r="Q57" s="3" t="s">
        <v>1116</v>
      </c>
      <c r="R57" s="3" t="s">
        <v>1116</v>
      </c>
      <c r="S57" s="3" t="s">
        <v>1116</v>
      </c>
      <c r="T57" s="3" t="s">
        <v>1116</v>
      </c>
    </row>
    <row r="58" spans="1:20">
      <c r="C58" s="2" t="s">
        <v>903</v>
      </c>
      <c r="D58" s="3" t="s">
        <v>1007</v>
      </c>
      <c r="E58" s="2" t="s">
        <v>903</v>
      </c>
      <c r="F58" s="2" t="s">
        <v>903</v>
      </c>
      <c r="G58" s="2" t="s">
        <v>903</v>
      </c>
      <c r="H58" s="2" t="s">
        <v>903</v>
      </c>
      <c r="I58" s="2" t="s">
        <v>903</v>
      </c>
      <c r="J58" s="2" t="s">
        <v>903</v>
      </c>
      <c r="K58" s="2" t="s">
        <v>903</v>
      </c>
      <c r="L58" s="2" t="s">
        <v>903</v>
      </c>
      <c r="M58" s="2" t="s">
        <v>903</v>
      </c>
      <c r="N58" s="2" t="s">
        <v>903</v>
      </c>
      <c r="O58" s="2" t="s">
        <v>903</v>
      </c>
      <c r="P58" s="2" t="s">
        <v>903</v>
      </c>
      <c r="Q58" s="3" t="s">
        <v>1962</v>
      </c>
      <c r="R58" s="2" t="s">
        <v>903</v>
      </c>
      <c r="S58" s="2" t="s">
        <v>903</v>
      </c>
      <c r="T58" s="2" t="s">
        <v>903</v>
      </c>
    </row>
    <row r="59" spans="1:20">
      <c r="C59" s="2" t="s">
        <v>904</v>
      </c>
      <c r="D59" s="3" t="s">
        <v>1008</v>
      </c>
      <c r="E59" s="2" t="s">
        <v>904</v>
      </c>
      <c r="F59" s="2" t="s">
        <v>904</v>
      </c>
      <c r="G59" s="2" t="s">
        <v>904</v>
      </c>
      <c r="H59" s="2" t="s">
        <v>904</v>
      </c>
      <c r="I59" s="2" t="s">
        <v>904</v>
      </c>
      <c r="J59" s="2" t="s">
        <v>904</v>
      </c>
      <c r="K59" s="2" t="s">
        <v>904</v>
      </c>
      <c r="L59" s="2" t="s">
        <v>904</v>
      </c>
      <c r="M59" s="2" t="s">
        <v>904</v>
      </c>
      <c r="N59" s="2" t="s">
        <v>904</v>
      </c>
      <c r="O59" s="2" t="s">
        <v>904</v>
      </c>
      <c r="P59" s="2" t="s">
        <v>904</v>
      </c>
      <c r="Q59" s="3" t="s">
        <v>1963</v>
      </c>
      <c r="R59" s="2" t="s">
        <v>904</v>
      </c>
      <c r="S59" s="2" t="s">
        <v>904</v>
      </c>
      <c r="T59" s="2" t="s">
        <v>904</v>
      </c>
    </row>
    <row r="60" spans="1:20">
      <c r="C60" s="3" t="s">
        <v>905</v>
      </c>
      <c r="D60" s="3" t="s">
        <v>905</v>
      </c>
      <c r="E60" s="3" t="s">
        <v>905</v>
      </c>
      <c r="F60" s="3" t="s">
        <v>905</v>
      </c>
      <c r="G60" s="3" t="s">
        <v>905</v>
      </c>
      <c r="H60" s="3" t="s">
        <v>905</v>
      </c>
      <c r="I60" s="3" t="s">
        <v>905</v>
      </c>
      <c r="J60" s="3" t="s">
        <v>905</v>
      </c>
      <c r="K60" s="3" t="s">
        <v>905</v>
      </c>
      <c r="L60" s="3" t="s">
        <v>905</v>
      </c>
      <c r="M60" s="3" t="s">
        <v>905</v>
      </c>
      <c r="N60" s="3" t="s">
        <v>905</v>
      </c>
      <c r="O60" s="3" t="s">
        <v>905</v>
      </c>
      <c r="P60" s="3" t="s">
        <v>905</v>
      </c>
      <c r="Q60" s="2" t="s">
        <v>1961</v>
      </c>
      <c r="R60" s="3" t="s">
        <v>905</v>
      </c>
      <c r="S60" s="3" t="s">
        <v>905</v>
      </c>
      <c r="T60" s="3" t="s">
        <v>905</v>
      </c>
    </row>
    <row r="61" spans="1:20">
      <c r="C61" s="6"/>
      <c r="D61" s="6"/>
      <c r="E61" s="3"/>
      <c r="F61" s="3"/>
      <c r="G61" s="6"/>
      <c r="H61" s="3"/>
      <c r="I61" s="3"/>
      <c r="J61" s="3"/>
      <c r="K61" s="3"/>
      <c r="L61" s="3"/>
      <c r="M61" s="3"/>
      <c r="N61" s="3"/>
      <c r="O61" s="3"/>
      <c r="P61" s="3"/>
      <c r="R61" s="3"/>
      <c r="S61" s="3"/>
      <c r="T61" s="3"/>
    </row>
    <row r="62" spans="1:20">
      <c r="C62" s="2" t="s">
        <v>906</v>
      </c>
      <c r="D62" s="2" t="s">
        <v>906</v>
      </c>
      <c r="E62" s="2" t="s">
        <v>906</v>
      </c>
      <c r="F62" s="2" t="s">
        <v>906</v>
      </c>
      <c r="G62" s="2" t="s">
        <v>906</v>
      </c>
      <c r="H62" s="2" t="s">
        <v>906</v>
      </c>
      <c r="I62" s="2" t="s">
        <v>906</v>
      </c>
      <c r="J62" s="2" t="s">
        <v>906</v>
      </c>
      <c r="K62" s="2" t="s">
        <v>906</v>
      </c>
      <c r="L62" s="2" t="s">
        <v>906</v>
      </c>
      <c r="M62" s="2" t="s">
        <v>906</v>
      </c>
      <c r="N62" s="2" t="s">
        <v>906</v>
      </c>
      <c r="O62" s="2" t="s">
        <v>906</v>
      </c>
      <c r="P62" s="2" t="s">
        <v>906</v>
      </c>
      <c r="Q62" s="2" t="s">
        <v>906</v>
      </c>
      <c r="R62" s="2" t="s">
        <v>906</v>
      </c>
      <c r="S62" s="2" t="s">
        <v>906</v>
      </c>
      <c r="T62" s="2" t="s">
        <v>906</v>
      </c>
    </row>
    <row r="63" spans="1:20">
      <c r="C63" s="3" t="s">
        <v>907</v>
      </c>
      <c r="D63" s="3" t="s">
        <v>907</v>
      </c>
      <c r="E63" s="3" t="s">
        <v>907</v>
      </c>
      <c r="F63" s="3" t="s">
        <v>907</v>
      </c>
      <c r="G63" s="3" t="s">
        <v>907</v>
      </c>
      <c r="H63" s="3" t="s">
        <v>907</v>
      </c>
      <c r="I63" s="3" t="s">
        <v>907</v>
      </c>
      <c r="J63" s="3" t="s">
        <v>907</v>
      </c>
      <c r="K63" s="3" t="s">
        <v>907</v>
      </c>
      <c r="L63" s="3" t="s">
        <v>907</v>
      </c>
      <c r="M63" s="3" t="s">
        <v>907</v>
      </c>
      <c r="N63" s="3" t="s">
        <v>907</v>
      </c>
      <c r="O63" s="3" t="s">
        <v>907</v>
      </c>
      <c r="P63" s="3" t="s">
        <v>907</v>
      </c>
      <c r="Q63" s="3" t="s">
        <v>907</v>
      </c>
      <c r="R63" s="3" t="s">
        <v>907</v>
      </c>
      <c r="S63" s="3" t="s">
        <v>907</v>
      </c>
      <c r="T63" s="3" t="s">
        <v>907</v>
      </c>
    </row>
    <row r="64" spans="1:20">
      <c r="C64" s="3" t="s">
        <v>898</v>
      </c>
      <c r="D64" s="3" t="s">
        <v>898</v>
      </c>
      <c r="E64" s="3" t="s">
        <v>898</v>
      </c>
      <c r="F64" s="3" t="s">
        <v>898</v>
      </c>
      <c r="G64" s="3" t="s">
        <v>898</v>
      </c>
      <c r="H64" s="3" t="s">
        <v>898</v>
      </c>
      <c r="I64" s="3" t="s">
        <v>898</v>
      </c>
      <c r="J64" s="3" t="s">
        <v>898</v>
      </c>
      <c r="K64" s="3" t="s">
        <v>898</v>
      </c>
      <c r="L64" s="3" t="s">
        <v>898</v>
      </c>
      <c r="M64" s="3" t="s">
        <v>898</v>
      </c>
      <c r="N64" s="3" t="s">
        <v>898</v>
      </c>
      <c r="O64" s="3" t="s">
        <v>898</v>
      </c>
      <c r="P64" s="3" t="s">
        <v>898</v>
      </c>
      <c r="Q64" s="3" t="s">
        <v>898</v>
      </c>
      <c r="R64" s="3" t="s">
        <v>898</v>
      </c>
      <c r="S64" s="3" t="s">
        <v>898</v>
      </c>
      <c r="T64" s="3" t="s">
        <v>898</v>
      </c>
    </row>
    <row r="65" spans="1:20">
      <c r="C65" s="3" t="s">
        <v>899</v>
      </c>
      <c r="D65" s="3" t="s">
        <v>899</v>
      </c>
      <c r="E65" s="3" t="s">
        <v>899</v>
      </c>
      <c r="F65" s="3" t="s">
        <v>899</v>
      </c>
      <c r="G65" s="3" t="s">
        <v>899</v>
      </c>
      <c r="H65" s="3" t="s">
        <v>899</v>
      </c>
      <c r="I65" s="3" t="s">
        <v>899</v>
      </c>
      <c r="J65" s="3" t="s">
        <v>899</v>
      </c>
      <c r="K65" s="3" t="s">
        <v>899</v>
      </c>
      <c r="L65" s="3" t="s">
        <v>899</v>
      </c>
      <c r="M65" s="3" t="s">
        <v>899</v>
      </c>
      <c r="N65" s="3" t="s">
        <v>899</v>
      </c>
      <c r="O65" s="3" t="s">
        <v>899</v>
      </c>
      <c r="P65" s="3" t="s">
        <v>899</v>
      </c>
      <c r="Q65" s="3" t="s">
        <v>899</v>
      </c>
      <c r="R65" s="3" t="s">
        <v>899</v>
      </c>
      <c r="S65" s="3" t="s">
        <v>899</v>
      </c>
      <c r="T65" s="3" t="s">
        <v>899</v>
      </c>
    </row>
    <row r="66" spans="1:20">
      <c r="C66" s="3"/>
      <c r="D66" s="3"/>
      <c r="E66" s="3"/>
      <c r="F66" s="3"/>
      <c r="G66" s="3"/>
      <c r="H66" s="3"/>
      <c r="I66" s="3"/>
      <c r="J66" s="3"/>
      <c r="K66" s="3"/>
      <c r="L66" s="3"/>
      <c r="M66" s="3"/>
      <c r="N66" s="3"/>
      <c r="O66" s="3"/>
      <c r="P66" s="3"/>
      <c r="Q66" s="3"/>
      <c r="R66" s="3"/>
      <c r="S66" s="3"/>
      <c r="T66" s="3"/>
    </row>
    <row r="67" spans="1:20">
      <c r="C67" s="3" t="s">
        <v>908</v>
      </c>
      <c r="D67" s="3" t="s">
        <v>908</v>
      </c>
      <c r="E67" s="3" t="s">
        <v>908</v>
      </c>
      <c r="F67" s="3" t="s">
        <v>908</v>
      </c>
      <c r="G67" s="3" t="s">
        <v>908</v>
      </c>
      <c r="H67" s="3" t="s">
        <v>908</v>
      </c>
      <c r="I67" s="3" t="s">
        <v>1423</v>
      </c>
      <c r="J67" s="3" t="s">
        <v>908</v>
      </c>
      <c r="K67" s="3" t="s">
        <v>908</v>
      </c>
      <c r="L67" s="3" t="s">
        <v>908</v>
      </c>
      <c r="M67" s="3" t="s">
        <v>908</v>
      </c>
      <c r="N67" s="3" t="s">
        <v>908</v>
      </c>
      <c r="O67" s="3" t="s">
        <v>908</v>
      </c>
      <c r="P67" s="3" t="s">
        <v>908</v>
      </c>
      <c r="Q67" s="3" t="s">
        <v>908</v>
      </c>
      <c r="R67" s="3" t="s">
        <v>908</v>
      </c>
      <c r="S67" s="3" t="s">
        <v>908</v>
      </c>
      <c r="T67" s="3" t="s">
        <v>908</v>
      </c>
    </row>
    <row r="68" spans="1:20">
      <c r="C68" s="3" t="s">
        <v>909</v>
      </c>
      <c r="D68" s="3" t="s">
        <v>909</v>
      </c>
      <c r="E68" s="3" t="s">
        <v>909</v>
      </c>
      <c r="F68" s="3" t="s">
        <v>909</v>
      </c>
      <c r="G68" s="3" t="s">
        <v>909</v>
      </c>
      <c r="H68" s="3" t="s">
        <v>909</v>
      </c>
      <c r="I68" s="3" t="s">
        <v>1422</v>
      </c>
      <c r="J68" s="3" t="s">
        <v>909</v>
      </c>
      <c r="K68" s="3" t="s">
        <v>909</v>
      </c>
      <c r="L68" s="3" t="s">
        <v>909</v>
      </c>
      <c r="M68" s="3" t="s">
        <v>909</v>
      </c>
      <c r="N68" s="3" t="s">
        <v>909</v>
      </c>
      <c r="O68" s="3" t="s">
        <v>909</v>
      </c>
      <c r="P68" s="3" t="s">
        <v>909</v>
      </c>
      <c r="Q68" s="3" t="s">
        <v>909</v>
      </c>
      <c r="R68" s="3" t="s">
        <v>909</v>
      </c>
      <c r="S68" s="3" t="s">
        <v>909</v>
      </c>
      <c r="T68" s="3" t="s">
        <v>909</v>
      </c>
    </row>
    <row r="69" spans="1:20">
      <c r="C69" s="3"/>
      <c r="D69" s="3"/>
      <c r="E69" s="3"/>
      <c r="F69" s="3"/>
      <c r="G69" s="3"/>
      <c r="H69" s="3"/>
      <c r="I69" s="3"/>
      <c r="J69" s="3"/>
      <c r="K69" s="3"/>
      <c r="L69" s="3"/>
      <c r="M69" s="3"/>
      <c r="N69" s="3"/>
      <c r="O69" s="3"/>
      <c r="P69" s="3"/>
      <c r="Q69" s="3"/>
      <c r="R69" s="3"/>
      <c r="S69" s="3"/>
      <c r="T69" s="3"/>
    </row>
    <row r="70" spans="1:20">
      <c r="C70" s="3"/>
      <c r="D70" s="3"/>
      <c r="E70" s="3"/>
      <c r="F70" s="3"/>
      <c r="G70" s="3"/>
      <c r="H70" s="3"/>
      <c r="I70" s="3"/>
      <c r="J70" s="3"/>
      <c r="K70" s="3"/>
      <c r="L70" s="3"/>
      <c r="M70" s="3"/>
      <c r="N70" s="3"/>
      <c r="O70" s="3"/>
      <c r="P70" s="3"/>
      <c r="Q70" s="3"/>
      <c r="R70" s="3"/>
      <c r="S70" s="3"/>
      <c r="T70" s="3"/>
    </row>
    <row r="71" spans="1:20">
      <c r="A71" t="s">
        <v>2347</v>
      </c>
      <c r="B71" t="str">
        <f t="shared" ref="B71:B72" si="4">+C71</f>
        <v xml:space="preserve">      A Journey of a Thousand Miles begins with a single step&lt;br&gt;</v>
      </c>
      <c r="C71" s="3" t="s">
        <v>910</v>
      </c>
      <c r="D71" s="3"/>
      <c r="E71" s="3" t="s">
        <v>2349</v>
      </c>
      <c r="F71" s="3" t="s">
        <v>2430</v>
      </c>
      <c r="G71" s="3" t="s">
        <v>2431</v>
      </c>
      <c r="H71" s="3" t="s">
        <v>2345</v>
      </c>
      <c r="I71" s="3"/>
      <c r="J71" s="3" t="s">
        <v>2432</v>
      </c>
      <c r="K71" s="3" t="s">
        <v>2431</v>
      </c>
      <c r="L71" s="3" t="s">
        <v>2349</v>
      </c>
      <c r="M71" s="3"/>
      <c r="N71" s="3" t="s">
        <v>2433</v>
      </c>
      <c r="O71" s="3" t="s">
        <v>2434</v>
      </c>
      <c r="P71" s="3"/>
      <c r="Q71" s="3"/>
      <c r="R71" s="3"/>
      <c r="T71" s="6"/>
    </row>
    <row r="72" spans="1:20">
      <c r="A72" t="s">
        <v>2348</v>
      </c>
      <c r="B72" t="str">
        <f t="shared" si="4"/>
        <v xml:space="preserve">      A Journey of &lt;b&gt;Three Thousand Miles&lt;/b&gt; begins with a single pedal stroke</v>
      </c>
      <c r="C72" s="3" t="s">
        <v>911</v>
      </c>
      <c r="D72" s="3"/>
      <c r="E72" s="3" t="s">
        <v>2355</v>
      </c>
      <c r="H72" s="3" t="s">
        <v>2346</v>
      </c>
    </row>
    <row r="73" spans="1:20">
      <c r="C73" s="3" t="s">
        <v>2350</v>
      </c>
      <c r="D73" s="3"/>
      <c r="E73" s="3" t="s">
        <v>2350</v>
      </c>
      <c r="F73" s="3" t="s">
        <v>2350</v>
      </c>
      <c r="G73" s="3"/>
      <c r="H73" s="3" t="s">
        <v>2350</v>
      </c>
      <c r="I73" s="3"/>
      <c r="J73" s="3"/>
      <c r="K73" s="3"/>
      <c r="L73" s="3" t="s">
        <v>2350</v>
      </c>
      <c r="M73" s="3"/>
      <c r="N73" s="3" t="s">
        <v>2350</v>
      </c>
      <c r="O73" s="3" t="s">
        <v>2350</v>
      </c>
      <c r="P73" s="3"/>
      <c r="Q73" s="3"/>
      <c r="R73" s="3"/>
    </row>
    <row r="74" spans="1:20">
      <c r="A74" t="s">
        <v>2440</v>
      </c>
      <c r="D74" s="3" t="s">
        <v>1021</v>
      </c>
      <c r="E74" s="3" t="s">
        <v>1121</v>
      </c>
      <c r="F74" s="3" t="s">
        <v>1263</v>
      </c>
      <c r="G74" s="3"/>
      <c r="H74" s="3"/>
      <c r="I74" s="3"/>
      <c r="J74" s="3"/>
      <c r="K74" s="3"/>
      <c r="L74" s="3"/>
      <c r="M74" s="3"/>
      <c r="N74" s="3"/>
      <c r="O74" s="3"/>
      <c r="P74" s="3"/>
      <c r="Q74" s="3"/>
      <c r="R74" s="3"/>
    </row>
    <row r="75" spans="1:20">
      <c r="A75" t="s">
        <v>2441</v>
      </c>
      <c r="C75" s="3" t="s">
        <v>928</v>
      </c>
      <c r="D75" s="3" t="s">
        <v>1022</v>
      </c>
      <c r="E75" s="3"/>
      <c r="F75" s="3"/>
      <c r="G75" s="3"/>
      <c r="H75" s="3"/>
      <c r="I75" s="3"/>
      <c r="J75" s="3"/>
      <c r="K75" s="3"/>
      <c r="L75" s="3"/>
      <c r="M75" s="3"/>
      <c r="N75" s="3"/>
      <c r="O75" s="3"/>
      <c r="P75" s="3"/>
      <c r="Q75" s="3"/>
      <c r="R75" s="3"/>
    </row>
    <row r="76" spans="1:20">
      <c r="A76" t="s">
        <v>2435</v>
      </c>
      <c r="C76" s="3"/>
      <c r="D76" s="3"/>
      <c r="E76" s="3"/>
      <c r="F76" s="3"/>
      <c r="G76" s="3"/>
      <c r="H76" s="3"/>
      <c r="I76" s="3"/>
      <c r="J76" s="3"/>
      <c r="K76" s="3"/>
      <c r="L76" s="3"/>
      <c r="M76" s="3"/>
      <c r="N76" s="3"/>
      <c r="O76" s="3"/>
      <c r="P76" s="3"/>
      <c r="Q76" s="3"/>
      <c r="R76" s="3"/>
    </row>
    <row r="77" spans="1:20">
      <c r="A77" t="s">
        <v>2442</v>
      </c>
      <c r="C77" s="3">
        <v>1</v>
      </c>
      <c r="D77" s="3"/>
      <c r="E77" s="3"/>
      <c r="F77" s="3"/>
      <c r="G77" s="3"/>
      <c r="H77" s="3"/>
      <c r="I77" s="3"/>
      <c r="J77" s="3"/>
      <c r="K77" s="3"/>
      <c r="L77" s="3"/>
      <c r="M77" s="3"/>
      <c r="N77" s="3"/>
      <c r="O77" s="3"/>
      <c r="P77" s="3"/>
      <c r="Q77" s="3"/>
      <c r="R77" s="3"/>
    </row>
    <row r="78" spans="1:20">
      <c r="A78" t="s">
        <v>2436</v>
      </c>
      <c r="C78" s="3" t="s">
        <v>918</v>
      </c>
      <c r="D78" s="3"/>
      <c r="E78" s="3" t="s">
        <v>1118</v>
      </c>
      <c r="F78" s="3" t="s">
        <v>1261</v>
      </c>
      <c r="G78" s="3" t="s">
        <v>1174</v>
      </c>
      <c r="H78" s="3" t="s">
        <v>1353</v>
      </c>
      <c r="I78" s="3" t="s">
        <v>1426</v>
      </c>
      <c r="J78" s="3" t="s">
        <v>1546</v>
      </c>
      <c r="K78" s="3" t="s">
        <v>1624</v>
      </c>
      <c r="L78" s="3" t="s">
        <v>1720</v>
      </c>
      <c r="M78" s="3" t="s">
        <v>1774</v>
      </c>
      <c r="N78" s="3" t="s">
        <v>1463</v>
      </c>
      <c r="O78" s="3" t="s">
        <v>1805</v>
      </c>
      <c r="P78" s="3" t="s">
        <v>1884</v>
      </c>
      <c r="Q78" s="3" t="s">
        <v>1964</v>
      </c>
      <c r="R78" s="3" t="s">
        <v>2048</v>
      </c>
      <c r="S78" s="3" t="s">
        <v>2156</v>
      </c>
      <c r="T78" s="3" t="s">
        <v>2248</v>
      </c>
    </row>
    <row r="79" spans="1:20">
      <c r="A79" t="s">
        <v>2354</v>
      </c>
      <c r="B79" t="str">
        <f>+C79</f>
        <v>Leaving Banff was the easy part. Got my picture taken by a park ranger and got on the bike.  &lt;br&gt;My Garmin Tracking device(Etrex20) didn’t actually show me any roads or map  features but it gave me a purple line to follow.  For some reason the electronic map I loaded from Topofusion didn’t have detail for the area right around Banff but the Spray River trail was easy to follow I didn't really need anything else. The map showed some detail about 35 miles later.</v>
      </c>
      <c r="C79" s="8" t="s">
        <v>2359</v>
      </c>
      <c r="D79" s="1" t="s">
        <v>2439</v>
      </c>
      <c r="E79" s="3" t="s">
        <v>2352</v>
      </c>
      <c r="F79" s="3" t="s">
        <v>2351</v>
      </c>
      <c r="G79" s="3" t="s">
        <v>2353</v>
      </c>
      <c r="H79" s="3" t="s">
        <v>2356</v>
      </c>
      <c r="I79" s="1" t="s">
        <v>2360</v>
      </c>
      <c r="J79" s="3"/>
      <c r="K79" s="1" t="s">
        <v>2357</v>
      </c>
      <c r="L79" s="8" t="s">
        <v>2361</v>
      </c>
      <c r="M79" s="8" t="s">
        <v>2362</v>
      </c>
      <c r="N79" s="8" t="s">
        <v>2363</v>
      </c>
      <c r="O79" s="8" t="s">
        <v>2364</v>
      </c>
      <c r="P79" s="8" t="s">
        <v>2365</v>
      </c>
      <c r="Q79" s="8" t="s">
        <v>2366</v>
      </c>
      <c r="R79" s="8" t="s">
        <v>2367</v>
      </c>
      <c r="S79" s="8" t="s">
        <v>2368</v>
      </c>
      <c r="T79" s="8" t="s">
        <v>2369</v>
      </c>
    </row>
    <row r="80" spans="1:20">
      <c r="C80" s="3"/>
      <c r="D80" s="3"/>
      <c r="E80" s="3"/>
      <c r="F80" s="3"/>
      <c r="G80" s="3"/>
      <c r="H80" s="3"/>
      <c r="I80" s="3"/>
      <c r="J80" s="3"/>
      <c r="K80" s="3"/>
      <c r="L80" s="3"/>
      <c r="M80" s="3"/>
      <c r="N80" s="3"/>
      <c r="O80" s="3"/>
      <c r="P80" s="3"/>
      <c r="Q80" s="3"/>
      <c r="R80" s="6"/>
      <c r="S80" s="3"/>
    </row>
    <row r="81" spans="1:20">
      <c r="A81" t="s">
        <v>2372</v>
      </c>
      <c r="C81" s="3"/>
      <c r="D81" s="3"/>
      <c r="E81" s="3"/>
      <c r="F81" s="3"/>
      <c r="G81" s="3"/>
      <c r="H81" s="3"/>
      <c r="I81" s="3"/>
      <c r="J81" s="6"/>
      <c r="L81" s="3"/>
      <c r="M81" s="3"/>
      <c r="N81" s="3"/>
      <c r="O81" s="3"/>
      <c r="P81" s="3"/>
      <c r="Q81" s="3"/>
      <c r="R81" s="3"/>
      <c r="T81" s="3"/>
    </row>
    <row r="82" spans="1:20">
      <c r="A82" t="s">
        <v>2370</v>
      </c>
      <c r="C82" s="3"/>
      <c r="E82" s="3"/>
      <c r="F82" s="3"/>
      <c r="H82" s="3"/>
      <c r="I82" s="3"/>
      <c r="J82" s="6"/>
      <c r="K82" s="3"/>
      <c r="L82" s="3"/>
      <c r="M82" s="3"/>
      <c r="N82" s="3"/>
      <c r="O82" s="3"/>
      <c r="P82" s="3"/>
      <c r="Q82" s="3"/>
      <c r="R82" s="3"/>
      <c r="S82" s="3"/>
      <c r="T82" s="3"/>
    </row>
    <row r="83" spans="1:20">
      <c r="A83" t="s">
        <v>2371</v>
      </c>
      <c r="C83" s="3"/>
      <c r="D83" s="3"/>
      <c r="E83" s="3"/>
      <c r="F83" s="3"/>
      <c r="G83" s="3"/>
      <c r="H83" s="3"/>
      <c r="I83" s="3"/>
      <c r="J83" s="6"/>
      <c r="K83" s="3"/>
      <c r="L83" s="3"/>
      <c r="M83" s="3"/>
      <c r="N83" s="3"/>
      <c r="O83" s="3"/>
      <c r="P83" s="3"/>
      <c r="Q83" s="3"/>
      <c r="R83" s="3"/>
      <c r="S83" s="3"/>
      <c r="T83" s="3"/>
    </row>
    <row r="84" spans="1:20">
      <c r="A84" t="s">
        <v>2437</v>
      </c>
      <c r="D84" s="3"/>
      <c r="E84" s="3"/>
      <c r="F84" s="3"/>
      <c r="G84" s="3"/>
      <c r="H84" s="3"/>
      <c r="I84" s="3"/>
      <c r="J84" s="6"/>
      <c r="K84" s="3"/>
      <c r="L84" s="3"/>
      <c r="M84" s="6"/>
      <c r="N84" s="3"/>
      <c r="O84" s="3"/>
      <c r="P84" s="3"/>
      <c r="Q84" s="3"/>
      <c r="R84" s="3"/>
      <c r="S84" s="3"/>
      <c r="T84" s="3"/>
    </row>
    <row r="85" spans="1:20">
      <c r="A85" t="s">
        <v>2370</v>
      </c>
      <c r="B85" t="str">
        <f>RIGHT(C85,LEN(C85)-3-FIND("src",C85))</f>
        <v>"../img/tourdivide/day01/day01pic06.jpg" alt=""&gt;</v>
      </c>
      <c r="C85" s="3" t="s">
        <v>913</v>
      </c>
      <c r="D85" s="3" t="s">
        <v>1012</v>
      </c>
      <c r="E85" s="3"/>
      <c r="F85" s="3"/>
      <c r="G85" s="3"/>
      <c r="H85" s="3"/>
      <c r="I85" s="3"/>
      <c r="J85" s="6"/>
      <c r="K85" s="3"/>
      <c r="L85" s="3"/>
      <c r="M85" s="6"/>
      <c r="N85" s="3"/>
      <c r="O85" s="6"/>
      <c r="P85" s="3"/>
      <c r="Q85" s="3"/>
      <c r="R85" s="3"/>
      <c r="S85" s="3"/>
      <c r="T85" s="3"/>
    </row>
    <row r="86" spans="1:20">
      <c r="A86" t="s">
        <v>2438</v>
      </c>
      <c r="C86" s="3"/>
      <c r="F86" s="3"/>
      <c r="G86" s="3"/>
      <c r="I86" s="3"/>
      <c r="J86" s="6"/>
      <c r="K86" s="3"/>
      <c r="L86" s="6"/>
      <c r="M86" s="6"/>
      <c r="N86" s="6"/>
      <c r="O86" s="6"/>
      <c r="P86" s="3"/>
      <c r="S86" s="3"/>
      <c r="T86" s="3"/>
    </row>
    <row r="87" spans="1:20">
      <c r="C87" s="6"/>
      <c r="D87" s="3"/>
      <c r="E87" s="3"/>
      <c r="F87" s="3"/>
      <c r="G87" s="3"/>
      <c r="I87" s="3"/>
      <c r="J87" s="6"/>
      <c r="K87" s="3"/>
      <c r="L87" s="6"/>
      <c r="M87" s="6"/>
      <c r="N87" s="6"/>
      <c r="O87" s="6"/>
      <c r="P87" s="3"/>
    </row>
    <row r="88" spans="1:20">
      <c r="A88" t="s">
        <v>2436</v>
      </c>
      <c r="C88" s="6"/>
      <c r="D88" s="3"/>
      <c r="E88" s="3"/>
      <c r="F88" s="3"/>
      <c r="G88" s="3"/>
      <c r="I88" s="3"/>
      <c r="J88" s="6"/>
      <c r="K88" s="3"/>
      <c r="L88" s="6"/>
      <c r="M88" s="6"/>
      <c r="N88" s="6"/>
      <c r="O88" s="6"/>
      <c r="P88" s="3"/>
      <c r="R88" s="3"/>
      <c r="T88" s="3"/>
    </row>
    <row r="89" spans="1:20">
      <c r="A89" t="s">
        <v>2442</v>
      </c>
      <c r="C89" s="6"/>
      <c r="E89" s="8" t="str">
        <f>_xlfn.CONCAT(E90:E94)</f>
        <v xml:space="preserve">      &lt;a href="#"&gt;      &lt;/a&gt;</v>
      </c>
      <c r="F89" s="3"/>
      <c r="G89" s="3"/>
      <c r="I89" s="3"/>
      <c r="J89" s="6"/>
      <c r="K89" s="3"/>
      <c r="L89" s="6"/>
      <c r="M89" s="6"/>
      <c r="N89" s="6"/>
      <c r="O89" s="6"/>
      <c r="P89" s="3"/>
      <c r="R89" s="3"/>
      <c r="T89" s="3"/>
    </row>
    <row r="90" spans="1:20">
      <c r="A90" t="s">
        <v>2436</v>
      </c>
      <c r="C90" s="6"/>
      <c r="D90" s="3"/>
      <c r="E90" s="3"/>
      <c r="F90" s="3"/>
      <c r="G90" s="3"/>
      <c r="I90" s="3"/>
      <c r="J90" s="6"/>
      <c r="K90" s="3"/>
      <c r="L90" s="6"/>
      <c r="M90" s="6"/>
      <c r="N90" s="6"/>
      <c r="O90" s="6"/>
      <c r="P90" s="6"/>
      <c r="Q90" s="3"/>
      <c r="R90" s="3" t="s">
        <v>941</v>
      </c>
      <c r="T90" s="3"/>
    </row>
    <row r="91" spans="1:20">
      <c r="A91" t="s">
        <v>2354</v>
      </c>
      <c r="C91" s="6"/>
      <c r="D91" s="3"/>
      <c r="E91" s="3"/>
      <c r="F91" s="3"/>
      <c r="G91" s="3"/>
      <c r="I91" s="3"/>
      <c r="J91" s="6"/>
      <c r="K91" s="3"/>
      <c r="L91" s="6"/>
      <c r="M91" s="6"/>
      <c r="N91" s="6"/>
      <c r="O91" s="6"/>
      <c r="P91" s="6"/>
      <c r="Q91" s="3"/>
    </row>
    <row r="92" spans="1:20">
      <c r="C92" s="3"/>
      <c r="D92" s="3"/>
      <c r="E92" s="3" t="s">
        <v>1120</v>
      </c>
      <c r="F92" s="3" t="s">
        <v>1262</v>
      </c>
      <c r="G92" s="3"/>
      <c r="H92" s="3" t="s">
        <v>1117</v>
      </c>
      <c r="I92" s="3"/>
      <c r="J92" s="3" t="s">
        <v>1020</v>
      </c>
      <c r="K92" s="3" t="s">
        <v>1020</v>
      </c>
      <c r="L92" s="3" t="s">
        <v>1020</v>
      </c>
      <c r="M92" s="3" t="s">
        <v>941</v>
      </c>
      <c r="N92" s="3" t="s">
        <v>1020</v>
      </c>
      <c r="O92" s="3" t="s">
        <v>941</v>
      </c>
      <c r="P92" s="3" t="s">
        <v>941</v>
      </c>
      <c r="Q92" s="3" t="s">
        <v>941</v>
      </c>
      <c r="R92" s="3" t="s">
        <v>2049</v>
      </c>
      <c r="S92" s="3" t="s">
        <v>2155</v>
      </c>
      <c r="T92" s="3" t="s">
        <v>2249</v>
      </c>
    </row>
    <row r="93" spans="1:20">
      <c r="A93" t="s">
        <v>2372</v>
      </c>
      <c r="G93" s="3"/>
      <c r="H93" s="3" t="s">
        <v>1354</v>
      </c>
      <c r="I93" s="3" t="s">
        <v>1424</v>
      </c>
      <c r="J93" s="3" t="s">
        <v>1547</v>
      </c>
      <c r="K93" s="3" t="s">
        <v>1625</v>
      </c>
      <c r="L93" s="3" t="s">
        <v>1721</v>
      </c>
      <c r="M93" s="3" t="s">
        <v>1775</v>
      </c>
      <c r="N93" s="3" t="s">
        <v>1464</v>
      </c>
      <c r="O93" s="3" t="s">
        <v>1806</v>
      </c>
      <c r="P93" s="3" t="s">
        <v>1885</v>
      </c>
      <c r="Q93" s="3" t="s">
        <v>1965</v>
      </c>
      <c r="R93" s="3" t="s">
        <v>1465</v>
      </c>
      <c r="S93" s="3" t="s">
        <v>917</v>
      </c>
      <c r="T93" s="3" t="s">
        <v>1465</v>
      </c>
    </row>
    <row r="94" spans="1:20">
      <c r="A94" t="s">
        <v>2370</v>
      </c>
      <c r="C94" s="3"/>
      <c r="D94" s="3"/>
      <c r="E94" s="3" t="s">
        <v>1078</v>
      </c>
      <c r="F94" s="3" t="s">
        <v>943</v>
      </c>
      <c r="G94" s="3"/>
      <c r="H94" s="3" t="s">
        <v>1016</v>
      </c>
      <c r="I94" s="3" t="s">
        <v>1425</v>
      </c>
      <c r="K94" s="3" t="s">
        <v>1023</v>
      </c>
      <c r="L94" s="3" t="s">
        <v>1465</v>
      </c>
      <c r="M94" s="3" t="s">
        <v>1465</v>
      </c>
      <c r="N94" s="3" t="s">
        <v>1465</v>
      </c>
      <c r="O94" s="3" t="s">
        <v>1465</v>
      </c>
      <c r="P94" s="3" t="s">
        <v>1465</v>
      </c>
      <c r="Q94" s="3" t="s">
        <v>1465</v>
      </c>
      <c r="R94" s="3" t="s">
        <v>2050</v>
      </c>
      <c r="S94" s="3" t="s">
        <v>1468</v>
      </c>
      <c r="T94" s="3" t="s">
        <v>943</v>
      </c>
    </row>
    <row r="95" spans="1:20">
      <c r="A95" t="s">
        <v>2371</v>
      </c>
      <c r="C95" s="6"/>
      <c r="D95" s="3"/>
      <c r="E95" s="3" t="s">
        <v>1016</v>
      </c>
      <c r="F95" s="3" t="s">
        <v>1017</v>
      </c>
      <c r="G95" s="3"/>
      <c r="H95" s="3" t="s">
        <v>1355</v>
      </c>
      <c r="I95" s="3" t="s">
        <v>943</v>
      </c>
      <c r="R95" s="3" t="s">
        <v>1143</v>
      </c>
      <c r="S95" s="2" t="s">
        <v>1019</v>
      </c>
    </row>
    <row r="96" spans="1:20">
      <c r="A96" t="s">
        <v>2437</v>
      </c>
      <c r="K96" s="3" t="s">
        <v>917</v>
      </c>
      <c r="L96" s="3" t="s">
        <v>1722</v>
      </c>
      <c r="M96" s="3" t="s">
        <v>1776</v>
      </c>
      <c r="N96" s="3" t="s">
        <v>1466</v>
      </c>
      <c r="O96" s="3" t="s">
        <v>1807</v>
      </c>
      <c r="P96" s="3" t="s">
        <v>1886</v>
      </c>
      <c r="Q96" s="3"/>
      <c r="R96" s="3" t="s">
        <v>1041</v>
      </c>
      <c r="S96" s="3" t="s">
        <v>912</v>
      </c>
    </row>
    <row r="97" spans="1:20">
      <c r="A97" t="s">
        <v>2370</v>
      </c>
      <c r="E97" s="3" t="s">
        <v>1017</v>
      </c>
      <c r="F97" s="2" t="s">
        <v>1018</v>
      </c>
      <c r="G97" s="3"/>
      <c r="H97" s="2" t="s">
        <v>1018</v>
      </c>
      <c r="J97" s="3" t="s">
        <v>1548</v>
      </c>
      <c r="K97" s="3" t="s">
        <v>1468</v>
      </c>
      <c r="L97" s="3" t="s">
        <v>1143</v>
      </c>
      <c r="M97" s="3" t="s">
        <v>1143</v>
      </c>
      <c r="N97" s="3" t="s">
        <v>1143</v>
      </c>
      <c r="O97" s="3" t="s">
        <v>1143</v>
      </c>
      <c r="P97" s="3" t="s">
        <v>1143</v>
      </c>
      <c r="Q97" s="3"/>
      <c r="R97" s="3" t="s">
        <v>943</v>
      </c>
      <c r="S97" s="3" t="s">
        <v>2157</v>
      </c>
    </row>
    <row r="98" spans="1:20">
      <c r="A98" t="s">
        <v>2438</v>
      </c>
      <c r="E98" s="2" t="s">
        <v>1122</v>
      </c>
      <c r="F98" s="2" t="s">
        <v>1019</v>
      </c>
      <c r="G98" s="3"/>
      <c r="H98" s="2" t="s">
        <v>1356</v>
      </c>
      <c r="J98" s="3" t="s">
        <v>1023</v>
      </c>
      <c r="K98" s="2" t="s">
        <v>1626</v>
      </c>
      <c r="L98" s="3" t="s">
        <v>1041</v>
      </c>
      <c r="M98" s="3" t="s">
        <v>1041</v>
      </c>
      <c r="N98" s="3" t="s">
        <v>1041</v>
      </c>
      <c r="O98" s="3" t="s">
        <v>1041</v>
      </c>
      <c r="P98" s="3" t="s">
        <v>1041</v>
      </c>
      <c r="Q98" s="6"/>
      <c r="S98" s="3" t="s">
        <v>2158</v>
      </c>
    </row>
    <row r="99" spans="1:20">
      <c r="E99" s="3" t="s">
        <v>1123</v>
      </c>
      <c r="F99" s="3" t="s">
        <v>1262</v>
      </c>
      <c r="G99" s="3"/>
      <c r="H99" s="3" t="s">
        <v>1117</v>
      </c>
      <c r="J99" s="6"/>
      <c r="K99" s="2" t="s">
        <v>920</v>
      </c>
      <c r="L99" s="3" t="s">
        <v>1023</v>
      </c>
      <c r="M99" s="3" t="s">
        <v>943</v>
      </c>
      <c r="N99" s="3" t="s">
        <v>1023</v>
      </c>
      <c r="O99" s="3" t="s">
        <v>943</v>
      </c>
      <c r="P99" s="3" t="s">
        <v>943</v>
      </c>
      <c r="Q99" s="3" t="s">
        <v>943</v>
      </c>
      <c r="S99" s="3" t="s">
        <v>2159</v>
      </c>
    </row>
    <row r="100" spans="1:20">
      <c r="C100" s="3"/>
      <c r="E100" s="3" t="s">
        <v>941</v>
      </c>
      <c r="F100" s="3" t="s">
        <v>1264</v>
      </c>
      <c r="G100" s="3" t="s">
        <v>1117</v>
      </c>
      <c r="H100" s="3" t="s">
        <v>1357</v>
      </c>
      <c r="I100" s="3" t="s">
        <v>941</v>
      </c>
      <c r="J100" s="3" t="s">
        <v>1017</v>
      </c>
      <c r="K100" s="3" t="s">
        <v>1627</v>
      </c>
      <c r="M100" s="3" t="s">
        <v>912</v>
      </c>
      <c r="N100" s="3" t="s">
        <v>912</v>
      </c>
      <c r="P100" s="3" t="s">
        <v>917</v>
      </c>
      <c r="Q100" s="3" t="s">
        <v>917</v>
      </c>
      <c r="S100" s="3" t="s">
        <v>2160</v>
      </c>
    </row>
    <row r="101" spans="1:20">
      <c r="C101" s="8"/>
      <c r="E101" s="3" t="s">
        <v>1124</v>
      </c>
      <c r="F101" s="3" t="s">
        <v>1265</v>
      </c>
      <c r="G101" s="3" t="s">
        <v>1175</v>
      </c>
      <c r="H101" s="3" t="s">
        <v>1358</v>
      </c>
      <c r="I101" s="3" t="s">
        <v>1427</v>
      </c>
      <c r="J101" s="2" t="s">
        <v>1018</v>
      </c>
      <c r="K101" s="3" t="s">
        <v>1628</v>
      </c>
      <c r="N101" s="3" t="s">
        <v>1467</v>
      </c>
      <c r="P101" s="3" t="s">
        <v>1468</v>
      </c>
      <c r="Q101" s="3" t="s">
        <v>1468</v>
      </c>
      <c r="S101" s="3" t="s">
        <v>2161</v>
      </c>
      <c r="T101" s="3" t="s">
        <v>917</v>
      </c>
    </row>
    <row r="102" spans="1:20">
      <c r="C102" s="3"/>
      <c r="E102" s="3" t="s">
        <v>943</v>
      </c>
      <c r="F102" s="3" t="s">
        <v>1163</v>
      </c>
      <c r="G102" s="3" t="s">
        <v>1176</v>
      </c>
      <c r="H102" s="3" t="s">
        <v>1016</v>
      </c>
      <c r="I102" s="3" t="s">
        <v>943</v>
      </c>
      <c r="J102" s="2" t="s">
        <v>1019</v>
      </c>
      <c r="K102" s="3" t="s">
        <v>1629</v>
      </c>
      <c r="M102" s="3" t="s">
        <v>916</v>
      </c>
      <c r="N102" s="3" t="s">
        <v>916</v>
      </c>
      <c r="P102" s="2" t="s">
        <v>1019</v>
      </c>
      <c r="Q102" s="2" t="s">
        <v>1019</v>
      </c>
      <c r="S102" s="3" t="s">
        <v>2162</v>
      </c>
      <c r="T102" s="3" t="s">
        <v>1468</v>
      </c>
    </row>
    <row r="103" spans="1:20">
      <c r="C103" s="3"/>
      <c r="E103" s="3" t="s">
        <v>1125</v>
      </c>
      <c r="F103" s="3" t="s">
        <v>943</v>
      </c>
      <c r="G103" s="3" t="s">
        <v>1078</v>
      </c>
      <c r="H103" s="3" t="s">
        <v>1359</v>
      </c>
      <c r="I103" s="6"/>
      <c r="J103" s="3" t="s">
        <v>1549</v>
      </c>
      <c r="K103" s="3" t="s">
        <v>1630</v>
      </c>
      <c r="M103" s="3"/>
      <c r="N103" s="3"/>
      <c r="R103" s="6"/>
      <c r="S103" s="3" t="s">
        <v>2163</v>
      </c>
      <c r="T103" s="2" t="s">
        <v>1019</v>
      </c>
    </row>
    <row r="104" spans="1:20">
      <c r="C104" s="3"/>
      <c r="E104" s="3" t="s">
        <v>1126</v>
      </c>
      <c r="F104" s="6"/>
      <c r="G104" s="3" t="s">
        <v>1016</v>
      </c>
      <c r="H104" s="3" t="s">
        <v>1360</v>
      </c>
      <c r="I104" s="3" t="s">
        <v>1413</v>
      </c>
      <c r="J104" s="3" t="s">
        <v>1550</v>
      </c>
      <c r="K104" s="3" t="s">
        <v>1631</v>
      </c>
      <c r="M104" s="3" t="s">
        <v>1117</v>
      </c>
      <c r="N104" s="6"/>
      <c r="O104" s="6"/>
      <c r="R104" s="3" t="s">
        <v>2051</v>
      </c>
      <c r="S104" s="3" t="s">
        <v>2164</v>
      </c>
      <c r="T104" s="3" t="s">
        <v>941</v>
      </c>
    </row>
    <row r="105" spans="1:20">
      <c r="C105" s="3"/>
      <c r="E105" s="3" t="s">
        <v>1127</v>
      </c>
      <c r="F105" s="3" t="s">
        <v>1266</v>
      </c>
      <c r="H105" s="3" t="s">
        <v>1361</v>
      </c>
      <c r="I105" s="2" t="s">
        <v>1428</v>
      </c>
      <c r="J105" s="3" t="s">
        <v>1551</v>
      </c>
      <c r="K105" s="3" t="s">
        <v>1632</v>
      </c>
      <c r="L105" s="6"/>
      <c r="M105" s="3" t="s">
        <v>1777</v>
      </c>
      <c r="N105" s="3" t="s">
        <v>917</v>
      </c>
      <c r="O105" s="3" t="s">
        <v>917</v>
      </c>
      <c r="R105" s="2" t="s">
        <v>1018</v>
      </c>
      <c r="S105" s="3" t="s">
        <v>2165</v>
      </c>
      <c r="T105" s="3" t="s">
        <v>2250</v>
      </c>
    </row>
    <row r="106" spans="1:20">
      <c r="C106" s="3"/>
      <c r="E106" s="3" t="s">
        <v>1128</v>
      </c>
      <c r="F106" s="3" t="s">
        <v>1267</v>
      </c>
      <c r="G106" s="3"/>
      <c r="H106" s="3" t="s">
        <v>1362</v>
      </c>
      <c r="I106" s="2" t="s">
        <v>1429</v>
      </c>
      <c r="J106" s="3" t="s">
        <v>1552</v>
      </c>
      <c r="K106" s="3" t="s">
        <v>925</v>
      </c>
      <c r="L106" s="3" t="s">
        <v>1017</v>
      </c>
      <c r="M106" s="3" t="s">
        <v>1724</v>
      </c>
      <c r="N106" s="3" t="s">
        <v>1468</v>
      </c>
      <c r="O106" s="3" t="s">
        <v>1468</v>
      </c>
      <c r="R106" s="2" t="s">
        <v>1019</v>
      </c>
      <c r="S106" s="3" t="s">
        <v>1470</v>
      </c>
      <c r="T106" s="3" t="s">
        <v>1120</v>
      </c>
    </row>
    <row r="107" spans="1:20">
      <c r="C107" s="3"/>
      <c r="E107" s="3" t="s">
        <v>1129</v>
      </c>
      <c r="F107" s="3" t="s">
        <v>1268</v>
      </c>
      <c r="G107" s="6"/>
      <c r="H107" s="3" t="s">
        <v>1363</v>
      </c>
      <c r="I107" s="2" t="s">
        <v>1430</v>
      </c>
      <c r="J107" s="3" t="s">
        <v>1553</v>
      </c>
      <c r="K107" s="3" t="s">
        <v>927</v>
      </c>
      <c r="L107" s="2" t="s">
        <v>1018</v>
      </c>
      <c r="M107" s="2" t="s">
        <v>1778</v>
      </c>
      <c r="N107" s="2" t="s">
        <v>1019</v>
      </c>
      <c r="O107" s="2" t="s">
        <v>1019</v>
      </c>
      <c r="R107" s="3" t="s">
        <v>941</v>
      </c>
      <c r="S107" s="6"/>
      <c r="T107" s="3" t="s">
        <v>2251</v>
      </c>
    </row>
    <row r="108" spans="1:20">
      <c r="C108" s="3"/>
      <c r="E108" s="3" t="s">
        <v>916</v>
      </c>
      <c r="F108" s="3" t="s">
        <v>1269</v>
      </c>
      <c r="G108" s="3" t="s">
        <v>1017</v>
      </c>
      <c r="H108" s="3" t="s">
        <v>1364</v>
      </c>
      <c r="I108" s="3" t="s">
        <v>921</v>
      </c>
      <c r="J108" s="3" t="s">
        <v>1554</v>
      </c>
      <c r="K108" s="3" t="s">
        <v>1633</v>
      </c>
      <c r="L108" s="2" t="s">
        <v>1019</v>
      </c>
      <c r="M108" s="3" t="s">
        <v>917</v>
      </c>
      <c r="N108" s="3" t="s">
        <v>1020</v>
      </c>
      <c r="O108" s="3" t="s">
        <v>941</v>
      </c>
      <c r="R108" s="3" t="s">
        <v>2052</v>
      </c>
      <c r="S108" s="3" t="s">
        <v>916</v>
      </c>
      <c r="T108" s="3" t="s">
        <v>1078</v>
      </c>
    </row>
    <row r="109" spans="1:20">
      <c r="C109" s="3"/>
      <c r="E109" s="3" t="s">
        <v>941</v>
      </c>
      <c r="F109" s="6"/>
      <c r="G109" s="2" t="s">
        <v>1018</v>
      </c>
      <c r="H109" s="3" t="s">
        <v>1365</v>
      </c>
      <c r="I109" s="3" t="s">
        <v>1431</v>
      </c>
      <c r="J109" s="3" t="s">
        <v>1555</v>
      </c>
      <c r="K109" s="3" t="s">
        <v>929</v>
      </c>
      <c r="L109" s="3" t="s">
        <v>1020</v>
      </c>
      <c r="M109" s="3" t="s">
        <v>1468</v>
      </c>
      <c r="N109" s="3" t="s">
        <v>1469</v>
      </c>
      <c r="O109" s="3" t="s">
        <v>1808</v>
      </c>
      <c r="R109" s="3" t="s">
        <v>1120</v>
      </c>
      <c r="S109" s="3" t="s">
        <v>941</v>
      </c>
      <c r="T109" s="3" t="s">
        <v>943</v>
      </c>
    </row>
    <row r="110" spans="1:20">
      <c r="C110" s="3"/>
      <c r="D110" s="3"/>
      <c r="E110" s="3" t="s">
        <v>1130</v>
      </c>
      <c r="F110" s="3" t="s">
        <v>1078</v>
      </c>
      <c r="G110" s="2" t="s">
        <v>1019</v>
      </c>
      <c r="H110" s="3" t="s">
        <v>916</v>
      </c>
      <c r="I110" s="3" t="s">
        <v>1432</v>
      </c>
      <c r="J110" s="3" t="s">
        <v>1556</v>
      </c>
      <c r="K110" s="3" t="s">
        <v>1634</v>
      </c>
      <c r="L110" s="3" t="s">
        <v>1723</v>
      </c>
      <c r="M110" s="2" t="s">
        <v>1019</v>
      </c>
      <c r="N110" s="3" t="s">
        <v>1470</v>
      </c>
      <c r="O110" s="3" t="s">
        <v>1809</v>
      </c>
      <c r="R110" s="3" t="s">
        <v>2053</v>
      </c>
      <c r="S110" s="3" t="s">
        <v>2166</v>
      </c>
      <c r="T110" s="3" t="s">
        <v>912</v>
      </c>
    </row>
    <row r="111" spans="1:20">
      <c r="D111" s="3"/>
      <c r="E111" s="3" t="s">
        <v>943</v>
      </c>
      <c r="F111" s="3" t="s">
        <v>1270</v>
      </c>
      <c r="G111" s="3" t="s">
        <v>912</v>
      </c>
      <c r="H111" s="3" t="s">
        <v>941</v>
      </c>
      <c r="I111" s="3" t="s">
        <v>1433</v>
      </c>
      <c r="J111" s="3" t="s">
        <v>916</v>
      </c>
      <c r="K111" s="3" t="s">
        <v>927</v>
      </c>
      <c r="L111" s="3" t="s">
        <v>1724</v>
      </c>
      <c r="M111" s="6"/>
      <c r="N111" s="3" t="s">
        <v>1471</v>
      </c>
      <c r="O111" s="3" t="s">
        <v>943</v>
      </c>
      <c r="R111" s="3" t="s">
        <v>1078</v>
      </c>
      <c r="S111" s="3" t="s">
        <v>1120</v>
      </c>
      <c r="T111" s="3" t="s">
        <v>2252</v>
      </c>
    </row>
    <row r="112" spans="1:20">
      <c r="C112" s="3"/>
      <c r="D112" s="3"/>
      <c r="E112" s="3" t="s">
        <v>1131</v>
      </c>
      <c r="F112" s="3" t="s">
        <v>916</v>
      </c>
      <c r="G112" s="3" t="s">
        <v>1177</v>
      </c>
      <c r="H112" s="3" t="s">
        <v>1366</v>
      </c>
      <c r="I112" s="3" t="s">
        <v>1434</v>
      </c>
      <c r="J112" s="3" t="s">
        <v>1020</v>
      </c>
      <c r="K112" s="3" t="s">
        <v>1635</v>
      </c>
      <c r="L112" s="2" t="s">
        <v>1725</v>
      </c>
      <c r="N112" s="3" t="s">
        <v>1023</v>
      </c>
      <c r="O112" s="3" t="s">
        <v>912</v>
      </c>
      <c r="P112" s="3" t="s">
        <v>941</v>
      </c>
      <c r="R112" s="3" t="s">
        <v>943</v>
      </c>
      <c r="S112" s="3" t="s">
        <v>2167</v>
      </c>
      <c r="T112" s="3" t="s">
        <v>2253</v>
      </c>
    </row>
    <row r="113" spans="1:20">
      <c r="C113" s="6"/>
      <c r="D113" s="3"/>
      <c r="E113" s="3" t="s">
        <v>916</v>
      </c>
      <c r="F113" s="3" t="s">
        <v>1262</v>
      </c>
      <c r="G113" s="3" t="s">
        <v>1178</v>
      </c>
      <c r="H113" s="3" t="s">
        <v>943</v>
      </c>
      <c r="I113" s="3" t="s">
        <v>1435</v>
      </c>
      <c r="J113" s="3" t="s">
        <v>1557</v>
      </c>
      <c r="K113" s="3" t="s">
        <v>929</v>
      </c>
      <c r="L113" s="3" t="s">
        <v>912</v>
      </c>
      <c r="N113" s="3" t="s">
        <v>912</v>
      </c>
      <c r="O113" s="3" t="s">
        <v>1810</v>
      </c>
      <c r="P113" s="3" t="s">
        <v>1887</v>
      </c>
      <c r="R113" s="3" t="s">
        <v>912</v>
      </c>
      <c r="S113" s="3" t="s">
        <v>1078</v>
      </c>
      <c r="T113" s="3" t="s">
        <v>2254</v>
      </c>
    </row>
    <row r="114" spans="1:20">
      <c r="C114" s="2" t="s">
        <v>919</v>
      </c>
      <c r="D114" s="2" t="s">
        <v>1018</v>
      </c>
      <c r="E114" s="3" t="s">
        <v>1132</v>
      </c>
      <c r="F114" s="3" t="s">
        <v>1271</v>
      </c>
      <c r="G114" s="3" t="s">
        <v>1179</v>
      </c>
      <c r="H114" s="3" t="s">
        <v>912</v>
      </c>
      <c r="I114" s="3" t="s">
        <v>925</v>
      </c>
      <c r="J114" s="3" t="s">
        <v>1023</v>
      </c>
      <c r="K114" s="3" t="s">
        <v>1636</v>
      </c>
      <c r="L114" s="3" t="s">
        <v>1726</v>
      </c>
      <c r="M114" s="3" t="s">
        <v>1120</v>
      </c>
      <c r="O114" s="3" t="s">
        <v>1811</v>
      </c>
      <c r="P114" s="3" t="s">
        <v>1120</v>
      </c>
      <c r="Q114" s="6"/>
      <c r="R114" s="3" t="s">
        <v>2054</v>
      </c>
      <c r="S114" s="3" t="s">
        <v>943</v>
      </c>
      <c r="T114" s="3" t="s">
        <v>2255</v>
      </c>
    </row>
    <row r="115" spans="1:20">
      <c r="C115" s="2" t="s">
        <v>920</v>
      </c>
      <c r="D115" s="2"/>
      <c r="E115" s="3" t="s">
        <v>941</v>
      </c>
      <c r="F115" s="3" t="s">
        <v>1272</v>
      </c>
      <c r="G115" s="3" t="s">
        <v>916</v>
      </c>
      <c r="H115" s="3" t="s">
        <v>1367</v>
      </c>
      <c r="I115" s="3" t="s">
        <v>927</v>
      </c>
      <c r="J115" s="3" t="s">
        <v>912</v>
      </c>
      <c r="K115" s="3" t="s">
        <v>1637</v>
      </c>
      <c r="L115" s="3" t="s">
        <v>1480</v>
      </c>
      <c r="M115" s="3" t="s">
        <v>1779</v>
      </c>
      <c r="O115" s="3" t="s">
        <v>1120</v>
      </c>
      <c r="P115" s="3" t="s">
        <v>1888</v>
      </c>
      <c r="Q115" s="3" t="s">
        <v>941</v>
      </c>
      <c r="R115" s="3" t="s">
        <v>2055</v>
      </c>
      <c r="S115" s="3" t="s">
        <v>912</v>
      </c>
      <c r="T115" s="3" t="s">
        <v>2256</v>
      </c>
    </row>
    <row r="116" spans="1:20">
      <c r="B116" t="str">
        <f>_xlfn.CONCAT(C116:C120)</f>
        <v xml:space="preserve">    &lt;p&gt;     Once out of town the fun (and the walking) began. Probably walked five times in the first 12 miles.     After two hours I had covered 12 miles.     Some quick extrapolation and it appeared I was going to &lt;b&gt;finish 2,700 miles in October.&lt;/b&gt;    &lt;/p&gt;</v>
      </c>
      <c r="C116" s="3" t="s">
        <v>921</v>
      </c>
      <c r="D116" s="3"/>
      <c r="E116" s="3" t="s">
        <v>1133</v>
      </c>
      <c r="F116" s="3" t="s">
        <v>1163</v>
      </c>
      <c r="G116" s="3" t="s">
        <v>941</v>
      </c>
      <c r="H116" s="3" t="s">
        <v>916</v>
      </c>
      <c r="I116" s="3" t="s">
        <v>1436</v>
      </c>
      <c r="J116" s="3" t="s">
        <v>1558</v>
      </c>
      <c r="K116" s="3" t="s">
        <v>1638</v>
      </c>
      <c r="L116" s="3" t="s">
        <v>1727</v>
      </c>
      <c r="M116" s="3" t="s">
        <v>1078</v>
      </c>
      <c r="O116" s="3" t="s">
        <v>1812</v>
      </c>
      <c r="P116" s="3" t="s">
        <v>1078</v>
      </c>
      <c r="Q116" s="3" t="s">
        <v>1966</v>
      </c>
      <c r="R116" s="3" t="s">
        <v>916</v>
      </c>
      <c r="S116" s="3" t="s">
        <v>2168</v>
      </c>
      <c r="T116" s="3" t="s">
        <v>1120</v>
      </c>
    </row>
    <row r="117" spans="1:20">
      <c r="C117" s="3" t="s">
        <v>922</v>
      </c>
      <c r="D117" s="3"/>
      <c r="E117" s="3" t="s">
        <v>943</v>
      </c>
      <c r="F117" s="3" t="s">
        <v>943</v>
      </c>
      <c r="G117" s="3" t="s">
        <v>1180</v>
      </c>
      <c r="H117" s="3" t="s">
        <v>941</v>
      </c>
      <c r="I117" s="3" t="s">
        <v>929</v>
      </c>
      <c r="J117" s="3" t="s">
        <v>1559</v>
      </c>
      <c r="K117" s="3" t="s">
        <v>1639</v>
      </c>
      <c r="L117" s="3" t="s">
        <v>1482</v>
      </c>
      <c r="M117" s="3" t="s">
        <v>912</v>
      </c>
      <c r="O117" s="3" t="s">
        <v>1078</v>
      </c>
      <c r="P117" s="3" t="s">
        <v>943</v>
      </c>
      <c r="Q117" s="3" t="s">
        <v>943</v>
      </c>
      <c r="R117" s="3" t="s">
        <v>941</v>
      </c>
      <c r="S117" s="3" t="s">
        <v>2169</v>
      </c>
      <c r="T117" s="3" t="s">
        <v>2257</v>
      </c>
    </row>
    <row r="118" spans="1:20">
      <c r="C118" s="3" t="s">
        <v>923</v>
      </c>
      <c r="D118" s="3"/>
      <c r="E118" s="3" t="s">
        <v>912</v>
      </c>
      <c r="F118" s="3" t="s">
        <v>1273</v>
      </c>
      <c r="G118" s="3" t="s">
        <v>1181</v>
      </c>
      <c r="H118" s="3" t="s">
        <v>1368</v>
      </c>
      <c r="I118" s="3" t="s">
        <v>921</v>
      </c>
      <c r="J118" s="3" t="s">
        <v>1560</v>
      </c>
      <c r="K118" s="3" t="s">
        <v>1640</v>
      </c>
      <c r="L118" s="3" t="s">
        <v>912</v>
      </c>
      <c r="M118" s="3" t="s">
        <v>1780</v>
      </c>
      <c r="O118" s="3" t="s">
        <v>912</v>
      </c>
      <c r="P118" s="3" t="s">
        <v>912</v>
      </c>
      <c r="Q118" s="3" t="s">
        <v>912</v>
      </c>
      <c r="R118" s="3" t="s">
        <v>2056</v>
      </c>
      <c r="S118" s="3" t="s">
        <v>1120</v>
      </c>
      <c r="T118" s="3" t="s">
        <v>1078</v>
      </c>
    </row>
    <row r="119" spans="1:20">
      <c r="C119" s="3" t="s">
        <v>924</v>
      </c>
      <c r="D119" s="3"/>
      <c r="E119" s="3" t="s">
        <v>1134</v>
      </c>
      <c r="F119" s="3" t="s">
        <v>916</v>
      </c>
      <c r="G119" s="3" t="s">
        <v>943</v>
      </c>
      <c r="H119" s="3" t="s">
        <v>943</v>
      </c>
      <c r="I119" s="3" t="s">
        <v>925</v>
      </c>
      <c r="J119" s="3" t="s">
        <v>1561</v>
      </c>
      <c r="K119" s="3" t="s">
        <v>921</v>
      </c>
      <c r="L119" s="3" t="s">
        <v>1728</v>
      </c>
      <c r="M119" s="3" t="s">
        <v>916</v>
      </c>
      <c r="N119" s="3" t="s">
        <v>1009</v>
      </c>
      <c r="O119" s="3" t="s">
        <v>1813</v>
      </c>
      <c r="P119" s="3" t="s">
        <v>1889</v>
      </c>
      <c r="Q119" s="3" t="s">
        <v>1967</v>
      </c>
      <c r="R119" s="3" t="s">
        <v>1465</v>
      </c>
      <c r="S119" s="3" t="s">
        <v>2170</v>
      </c>
      <c r="T119" s="3" t="s">
        <v>912</v>
      </c>
    </row>
    <row r="120" spans="1:20">
      <c r="C120" s="3" t="s">
        <v>925</v>
      </c>
      <c r="E120" s="3" t="s">
        <v>1135</v>
      </c>
      <c r="F120" s="6"/>
      <c r="G120" s="3" t="s">
        <v>1182</v>
      </c>
      <c r="H120" s="3" t="s">
        <v>912</v>
      </c>
      <c r="I120" s="3" t="s">
        <v>927</v>
      </c>
      <c r="J120" s="3" t="s">
        <v>1562</v>
      </c>
      <c r="K120" s="3" t="s">
        <v>1641</v>
      </c>
      <c r="L120" s="3" t="s">
        <v>916</v>
      </c>
      <c r="M120" s="3" t="s">
        <v>1117</v>
      </c>
      <c r="N120" s="3" t="s">
        <v>1010</v>
      </c>
      <c r="O120" s="3" t="s">
        <v>916</v>
      </c>
      <c r="P120" s="3" t="s">
        <v>1120</v>
      </c>
      <c r="Q120" s="3" t="s">
        <v>916</v>
      </c>
      <c r="R120" s="3" t="s">
        <v>2057</v>
      </c>
      <c r="S120" s="3" t="s">
        <v>1078</v>
      </c>
      <c r="T120" s="3" t="s">
        <v>2258</v>
      </c>
    </row>
    <row r="121" spans="1:20">
      <c r="A121" t="s">
        <v>2507</v>
      </c>
      <c r="C121" s="3" t="s">
        <v>926</v>
      </c>
      <c r="E121" s="3" t="s">
        <v>1136</v>
      </c>
      <c r="F121" s="3" t="s">
        <v>1274</v>
      </c>
      <c r="G121" s="3" t="s">
        <v>912</v>
      </c>
      <c r="H121" s="3" t="s">
        <v>1369</v>
      </c>
      <c r="I121" s="3" t="s">
        <v>1437</v>
      </c>
      <c r="J121" s="3" t="s">
        <v>1563</v>
      </c>
      <c r="K121" s="3" t="s">
        <v>1642</v>
      </c>
      <c r="L121" s="3" t="s">
        <v>1020</v>
      </c>
      <c r="M121" s="3" t="s">
        <v>1781</v>
      </c>
      <c r="N121" s="3" t="s">
        <v>1011</v>
      </c>
      <c r="O121" s="3" t="s">
        <v>941</v>
      </c>
      <c r="P121" s="3" t="s">
        <v>1890</v>
      </c>
      <c r="Q121" s="3" t="s">
        <v>941</v>
      </c>
      <c r="R121" s="4" t="s">
        <v>2058</v>
      </c>
      <c r="S121" s="3" t="s">
        <v>912</v>
      </c>
      <c r="T121" s="3" t="s">
        <v>916</v>
      </c>
    </row>
    <row r="122" spans="1:20">
      <c r="C122" s="3" t="s">
        <v>927</v>
      </c>
      <c r="D122" s="3"/>
      <c r="E122" s="3" t="s">
        <v>1137</v>
      </c>
      <c r="F122" s="3" t="s">
        <v>1275</v>
      </c>
      <c r="G122" s="3" t="s">
        <v>1183</v>
      </c>
      <c r="H122" s="3" t="s">
        <v>916</v>
      </c>
      <c r="I122" s="3" t="s">
        <v>929</v>
      </c>
      <c r="J122" s="3" t="s">
        <v>916</v>
      </c>
      <c r="K122" s="3" t="s">
        <v>1643</v>
      </c>
      <c r="L122" s="3" t="s">
        <v>1729</v>
      </c>
      <c r="M122" s="3" t="s">
        <v>1465</v>
      </c>
      <c r="N122" s="3" t="s">
        <v>1472</v>
      </c>
      <c r="O122" s="3" t="s">
        <v>1814</v>
      </c>
      <c r="P122" s="3" t="s">
        <v>1078</v>
      </c>
      <c r="Q122" s="3" t="s">
        <v>1968</v>
      </c>
      <c r="R122" s="3" t="s">
        <v>2059</v>
      </c>
      <c r="S122" s="3" t="s">
        <v>2171</v>
      </c>
      <c r="T122" s="3" t="s">
        <v>941</v>
      </c>
    </row>
    <row r="123" spans="1:20">
      <c r="D123" s="3" t="s">
        <v>1024</v>
      </c>
      <c r="E123" s="3" t="s">
        <v>916</v>
      </c>
      <c r="F123" s="3" t="s">
        <v>1276</v>
      </c>
      <c r="G123" s="3" t="s">
        <v>1184</v>
      </c>
      <c r="H123" s="6"/>
      <c r="I123" s="3" t="s">
        <v>921</v>
      </c>
      <c r="J123" s="3" t="s">
        <v>1564</v>
      </c>
      <c r="K123" s="3" t="s">
        <v>1644</v>
      </c>
      <c r="L123" s="3" t="s">
        <v>1023</v>
      </c>
      <c r="M123" s="3" t="s">
        <v>1782</v>
      </c>
      <c r="N123" s="3" t="s">
        <v>1473</v>
      </c>
      <c r="O123" s="3" t="s">
        <v>943</v>
      </c>
      <c r="P123" s="3" t="s">
        <v>912</v>
      </c>
      <c r="Q123" s="3" t="s">
        <v>943</v>
      </c>
      <c r="R123" s="3" t="s">
        <v>1163</v>
      </c>
      <c r="S123" s="3" t="s">
        <v>916</v>
      </c>
      <c r="T123" s="3" t="s">
        <v>2259</v>
      </c>
    </row>
    <row r="124" spans="1:20">
      <c r="C124" s="3" t="s">
        <v>929</v>
      </c>
      <c r="D124" s="3" t="s">
        <v>1025</v>
      </c>
      <c r="E124" s="3" t="s">
        <v>1138</v>
      </c>
      <c r="F124" s="3" t="s">
        <v>916</v>
      </c>
      <c r="G124" s="3" t="s">
        <v>1185</v>
      </c>
      <c r="H124" s="3" t="s">
        <v>941</v>
      </c>
      <c r="I124" s="3" t="s">
        <v>1438</v>
      </c>
      <c r="J124" s="3" t="s">
        <v>912</v>
      </c>
      <c r="K124" s="3" t="s">
        <v>1645</v>
      </c>
      <c r="L124" s="3" t="s">
        <v>916</v>
      </c>
      <c r="M124" s="3" t="s">
        <v>1143</v>
      </c>
      <c r="N124" s="3" t="s">
        <v>1163</v>
      </c>
      <c r="O124" s="3" t="s">
        <v>916</v>
      </c>
      <c r="P124" s="3" t="s">
        <v>1891</v>
      </c>
      <c r="Q124" s="3" t="s">
        <v>912</v>
      </c>
      <c r="R124" s="3" t="s">
        <v>943</v>
      </c>
      <c r="S124" s="3" t="s">
        <v>941</v>
      </c>
      <c r="T124" s="3" t="s">
        <v>943</v>
      </c>
    </row>
    <row r="125" spans="1:20">
      <c r="B125" t="str">
        <f>_xlfn.CONCAT(C125:C129)</f>
        <v xml:space="preserve">    &lt;p&gt; The first 40 miles was a gradual climb. I would learn this was the way of the world.&lt;br&gt; I struggled to     climb but figured I would adapt. Shoes and feet were holding up with the walking which was a     good thing. I was already thinking I had to cut some weight and the running shoes could go if I could walk in     the Sidi bike shoes.    &lt;/p&gt;</v>
      </c>
      <c r="C125" s="3" t="s">
        <v>930</v>
      </c>
      <c r="D125" s="3" t="s">
        <v>1020</v>
      </c>
      <c r="E125" s="3" t="s">
        <v>1139</v>
      </c>
      <c r="F125" s="3" t="s">
        <v>912</v>
      </c>
      <c r="G125" s="3" t="s">
        <v>1186</v>
      </c>
      <c r="H125" s="3" t="s">
        <v>1370</v>
      </c>
      <c r="I125" s="3" t="s">
        <v>925</v>
      </c>
      <c r="J125" s="3" t="s">
        <v>1565</v>
      </c>
      <c r="K125" s="3" t="s">
        <v>1646</v>
      </c>
      <c r="L125" s="3" t="s">
        <v>1730</v>
      </c>
      <c r="M125" s="3" t="s">
        <v>1041</v>
      </c>
      <c r="N125" s="3" t="s">
        <v>1013</v>
      </c>
      <c r="O125" s="3" t="s">
        <v>1815</v>
      </c>
      <c r="P125" s="3" t="s">
        <v>916</v>
      </c>
      <c r="Q125" s="3" t="s">
        <v>1969</v>
      </c>
      <c r="R125" s="3" t="s">
        <v>2060</v>
      </c>
      <c r="S125" s="3" t="s">
        <v>2172</v>
      </c>
      <c r="T125" s="3" t="s">
        <v>912</v>
      </c>
    </row>
    <row r="126" spans="1:20">
      <c r="C126" s="3" t="s">
        <v>931</v>
      </c>
      <c r="D126" s="3" t="s">
        <v>1026</v>
      </c>
      <c r="E126" s="3" t="s">
        <v>1120</v>
      </c>
      <c r="F126" s="3" t="s">
        <v>1277</v>
      </c>
      <c r="G126" s="3" t="s">
        <v>1187</v>
      </c>
      <c r="H126" s="3" t="s">
        <v>943</v>
      </c>
      <c r="I126" s="6"/>
      <c r="J126" s="3" t="s">
        <v>1566</v>
      </c>
      <c r="K126" s="3" t="s">
        <v>1647</v>
      </c>
      <c r="L126" s="3" t="s">
        <v>912</v>
      </c>
      <c r="M126" s="3" t="s">
        <v>1016</v>
      </c>
      <c r="N126" s="3" t="s">
        <v>1014</v>
      </c>
      <c r="O126" s="3" t="s">
        <v>1009</v>
      </c>
      <c r="P126" s="3" t="s">
        <v>941</v>
      </c>
      <c r="Q126" s="3" t="s">
        <v>916</v>
      </c>
      <c r="R126" s="3" t="s">
        <v>912</v>
      </c>
      <c r="S126" s="3" t="s">
        <v>943</v>
      </c>
      <c r="T126" s="3" t="s">
        <v>2260</v>
      </c>
    </row>
    <row r="127" spans="1:20">
      <c r="C127" s="3" t="s">
        <v>932</v>
      </c>
      <c r="D127" s="3" t="s">
        <v>1027</v>
      </c>
      <c r="E127" s="3" t="s">
        <v>1140</v>
      </c>
      <c r="F127" s="3" t="s">
        <v>916</v>
      </c>
      <c r="G127" s="3" t="s">
        <v>1188</v>
      </c>
      <c r="H127" s="3" t="s">
        <v>912</v>
      </c>
      <c r="I127" s="3" t="s">
        <v>927</v>
      </c>
      <c r="J127" s="3" t="s">
        <v>916</v>
      </c>
      <c r="K127" s="3" t="s">
        <v>1648</v>
      </c>
      <c r="L127" s="6"/>
      <c r="M127" s="3" t="s">
        <v>912</v>
      </c>
      <c r="N127" s="3" t="s">
        <v>1010</v>
      </c>
      <c r="O127" s="3" t="s">
        <v>1010</v>
      </c>
      <c r="P127" s="3" t="s">
        <v>1892</v>
      </c>
      <c r="Q127" s="3" t="s">
        <v>1117</v>
      </c>
      <c r="R127" s="3" t="s">
        <v>2061</v>
      </c>
      <c r="S127" s="3" t="s">
        <v>2173</v>
      </c>
      <c r="T127" s="3" t="s">
        <v>2261</v>
      </c>
    </row>
    <row r="128" spans="1:20">
      <c r="C128" s="3" t="s">
        <v>933</v>
      </c>
      <c r="D128" s="4" t="s">
        <v>1028</v>
      </c>
      <c r="E128" s="3" t="s">
        <v>1141</v>
      </c>
      <c r="F128" s="3" t="s">
        <v>1278</v>
      </c>
      <c r="G128" s="3" t="s">
        <v>1189</v>
      </c>
      <c r="H128" s="3" t="s">
        <v>1371</v>
      </c>
      <c r="I128" s="3" t="s">
        <v>1439</v>
      </c>
      <c r="J128" s="3" t="s">
        <v>1009</v>
      </c>
      <c r="K128" s="3" t="s">
        <v>925</v>
      </c>
      <c r="L128" s="3" t="s">
        <v>916</v>
      </c>
      <c r="M128" s="3" t="s">
        <v>1783</v>
      </c>
      <c r="N128" s="3" t="s">
        <v>1011</v>
      </c>
      <c r="O128" s="3" t="s">
        <v>1816</v>
      </c>
      <c r="P128" s="3" t="s">
        <v>943</v>
      </c>
      <c r="Q128" s="3" t="s">
        <v>1970</v>
      </c>
      <c r="R128" s="3" t="s">
        <v>2062</v>
      </c>
      <c r="S128" s="3" t="s">
        <v>1009</v>
      </c>
      <c r="T128" s="3" t="s">
        <v>2262</v>
      </c>
    </row>
    <row r="129" spans="2:20">
      <c r="C129" s="3" t="s">
        <v>925</v>
      </c>
      <c r="D129" s="3" t="s">
        <v>1023</v>
      </c>
      <c r="E129" s="3" t="s">
        <v>1142</v>
      </c>
      <c r="F129" s="3" t="s">
        <v>1262</v>
      </c>
      <c r="G129" s="3" t="s">
        <v>916</v>
      </c>
      <c r="H129" s="3" t="s">
        <v>916</v>
      </c>
      <c r="I129" s="3" t="s">
        <v>929</v>
      </c>
      <c r="J129" s="3" t="s">
        <v>1010</v>
      </c>
      <c r="K129" s="3" t="s">
        <v>1649</v>
      </c>
      <c r="L129" s="3" t="s">
        <v>1009</v>
      </c>
      <c r="M129" s="3" t="s">
        <v>1784</v>
      </c>
      <c r="N129" s="3" t="s">
        <v>1474</v>
      </c>
      <c r="O129" s="3" t="s">
        <v>1817</v>
      </c>
      <c r="P129" s="3" t="s">
        <v>916</v>
      </c>
      <c r="Q129" s="3" t="s">
        <v>1016</v>
      </c>
      <c r="R129" s="3" t="s">
        <v>916</v>
      </c>
      <c r="S129" s="3" t="s">
        <v>2174</v>
      </c>
      <c r="T129" s="3" t="s">
        <v>916</v>
      </c>
    </row>
    <row r="130" spans="2:20">
      <c r="C130" s="3" t="s">
        <v>927</v>
      </c>
      <c r="D130" s="3" t="s">
        <v>912</v>
      </c>
      <c r="E130" s="3" t="s">
        <v>1143</v>
      </c>
      <c r="F130" s="3" t="s">
        <v>1279</v>
      </c>
      <c r="G130" s="3" t="s">
        <v>1190</v>
      </c>
      <c r="H130" s="3" t="s">
        <v>941</v>
      </c>
      <c r="I130" s="3" t="s">
        <v>921</v>
      </c>
      <c r="J130" s="3" t="s">
        <v>1011</v>
      </c>
      <c r="K130" s="3" t="s">
        <v>1139</v>
      </c>
      <c r="L130" s="3" t="s">
        <v>1010</v>
      </c>
      <c r="M130" s="3" t="s">
        <v>1785</v>
      </c>
      <c r="N130" s="3" t="s">
        <v>1013</v>
      </c>
      <c r="O130" s="3" t="s">
        <v>1284</v>
      </c>
      <c r="P130" s="3" t="s">
        <v>1893</v>
      </c>
      <c r="Q130" s="3" t="s">
        <v>1971</v>
      </c>
      <c r="R130" s="3" t="s">
        <v>1051</v>
      </c>
      <c r="S130" s="3" t="s">
        <v>1816</v>
      </c>
      <c r="T130" s="3" t="s">
        <v>944</v>
      </c>
    </row>
    <row r="131" spans="2:20">
      <c r="B131" t="str">
        <f>RIGHT(C131,LEN(C131)-3-FIND("src",C131))</f>
        <v>"../img/tourdivide/day01/day01pic03.jpg" alt="" style="width:95%"&gt;</v>
      </c>
      <c r="C131" s="3" t="s">
        <v>934</v>
      </c>
      <c r="D131" s="3" t="s">
        <v>1029</v>
      </c>
      <c r="E131" s="3" t="s">
        <v>1041</v>
      </c>
      <c r="F131" s="3" t="s">
        <v>943</v>
      </c>
      <c r="G131" s="3" t="s">
        <v>1191</v>
      </c>
      <c r="H131" s="3" t="s">
        <v>1372</v>
      </c>
      <c r="I131" s="6"/>
      <c r="J131" s="3" t="s">
        <v>1567</v>
      </c>
      <c r="K131" s="3" t="s">
        <v>1120</v>
      </c>
      <c r="L131" s="3" t="s">
        <v>1011</v>
      </c>
      <c r="M131" s="3" t="s">
        <v>1786</v>
      </c>
      <c r="N131" s="3" t="s">
        <v>1014</v>
      </c>
      <c r="O131" s="3" t="s">
        <v>1014</v>
      </c>
      <c r="P131" s="3" t="s">
        <v>1009</v>
      </c>
      <c r="Q131" s="3" t="s">
        <v>941</v>
      </c>
      <c r="R131" s="3" t="s">
        <v>1052</v>
      </c>
      <c r="S131" s="3" t="s">
        <v>2175</v>
      </c>
      <c r="T131" s="3" t="s">
        <v>912</v>
      </c>
    </row>
    <row r="132" spans="2:20">
      <c r="C132" s="3" t="s">
        <v>929</v>
      </c>
      <c r="D132" s="3" t="s">
        <v>1030</v>
      </c>
      <c r="E132" s="3" t="s">
        <v>1078</v>
      </c>
      <c r="F132" s="3" t="s">
        <v>1009</v>
      </c>
      <c r="G132" s="4" t="s">
        <v>1192</v>
      </c>
      <c r="H132" s="3" t="s">
        <v>943</v>
      </c>
      <c r="I132" s="3" t="s">
        <v>925</v>
      </c>
      <c r="J132" s="3" t="s">
        <v>1013</v>
      </c>
      <c r="K132" s="3" t="s">
        <v>1650</v>
      </c>
      <c r="L132" s="3" t="s">
        <v>1731</v>
      </c>
      <c r="M132" s="3" t="s">
        <v>1787</v>
      </c>
      <c r="N132" s="3" t="s">
        <v>1016</v>
      </c>
      <c r="O132" s="3" t="s">
        <v>1010</v>
      </c>
      <c r="P132" s="3" t="s">
        <v>1894</v>
      </c>
      <c r="Q132" s="3" t="s">
        <v>1972</v>
      </c>
      <c r="R132" s="3" t="s">
        <v>1053</v>
      </c>
      <c r="S132" s="3" t="s">
        <v>2176</v>
      </c>
      <c r="T132" s="3" t="s">
        <v>2263</v>
      </c>
    </row>
    <row r="133" spans="2:20">
      <c r="B133" t="str">
        <f>_xlfn.CONCAT(C133:C138)</f>
        <v xml:space="preserve">    &lt;p&gt;In the afternoon I meet people coming north (NOBOs). I was a SOBO. Two very young guys from New Zealand who     were on their 35th     and last day coming north and a woman who had ridden from the border (Roosville) to get to the start of the     race on Friday.     The guys on their final day had covered about the same distance as I had during the day which made me feel     better.&lt;br&gt;</v>
      </c>
      <c r="C133" s="3" t="s">
        <v>935</v>
      </c>
      <c r="D133" s="3" t="s">
        <v>1031</v>
      </c>
      <c r="E133" s="3" t="s">
        <v>1016</v>
      </c>
      <c r="F133" s="3" t="s">
        <v>1280</v>
      </c>
      <c r="G133" s="3" t="s">
        <v>1193</v>
      </c>
      <c r="H133" s="3" t="s">
        <v>1373</v>
      </c>
      <c r="I133" s="3" t="s">
        <v>927</v>
      </c>
      <c r="J133" s="3" t="s">
        <v>1568</v>
      </c>
      <c r="K133" s="3" t="s">
        <v>1078</v>
      </c>
      <c r="L133" s="3" t="s">
        <v>1013</v>
      </c>
      <c r="M133" s="3" t="s">
        <v>1788</v>
      </c>
      <c r="N133" s="3" t="s">
        <v>1475</v>
      </c>
      <c r="O133" s="3" t="s">
        <v>1816</v>
      </c>
      <c r="P133" s="3" t="s">
        <v>1816</v>
      </c>
      <c r="Q133" s="3" t="s">
        <v>1973</v>
      </c>
      <c r="R133" s="3" t="s">
        <v>1054</v>
      </c>
      <c r="S133" s="3" t="s">
        <v>914</v>
      </c>
      <c r="T133" s="3" t="s">
        <v>2264</v>
      </c>
    </row>
    <row r="134" spans="2:20">
      <c r="C134" s="3" t="s">
        <v>936</v>
      </c>
      <c r="D134" s="3" t="s">
        <v>1032</v>
      </c>
      <c r="E134" s="3" t="s">
        <v>1139</v>
      </c>
      <c r="F134" s="3" t="s">
        <v>1281</v>
      </c>
      <c r="G134" s="3" t="s">
        <v>943</v>
      </c>
      <c r="H134" s="3" t="s">
        <v>1374</v>
      </c>
      <c r="I134" s="3" t="s">
        <v>1440</v>
      </c>
      <c r="J134" s="3" t="s">
        <v>1014</v>
      </c>
      <c r="K134" s="3" t="s">
        <v>1016</v>
      </c>
      <c r="L134" s="3" t="s">
        <v>1014</v>
      </c>
      <c r="M134" s="3" t="s">
        <v>1789</v>
      </c>
      <c r="N134" s="3" t="s">
        <v>1476</v>
      </c>
      <c r="O134" s="3" t="s">
        <v>1818</v>
      </c>
      <c r="P134" s="3" t="s">
        <v>1895</v>
      </c>
      <c r="Q134" s="3" t="s">
        <v>1078</v>
      </c>
      <c r="R134" s="3" t="s">
        <v>1055</v>
      </c>
      <c r="S134" s="3" t="s">
        <v>1284</v>
      </c>
      <c r="T134" s="3" t="s">
        <v>2265</v>
      </c>
    </row>
    <row r="135" spans="2:20">
      <c r="C135" s="3" t="s">
        <v>937</v>
      </c>
      <c r="D135" s="3" t="s">
        <v>1033</v>
      </c>
      <c r="E135" s="3" t="s">
        <v>1120</v>
      </c>
      <c r="F135" s="3" t="s">
        <v>1282</v>
      </c>
      <c r="G135" s="3" t="s">
        <v>1194</v>
      </c>
      <c r="H135" s="3" t="s">
        <v>912</v>
      </c>
      <c r="I135" s="3" t="s">
        <v>929</v>
      </c>
      <c r="J135" s="3" t="s">
        <v>1010</v>
      </c>
      <c r="K135" s="3" t="s">
        <v>1139</v>
      </c>
      <c r="L135" s="3" t="s">
        <v>1010</v>
      </c>
      <c r="M135" s="3" t="s">
        <v>1790</v>
      </c>
      <c r="N135" s="3" t="s">
        <v>1020</v>
      </c>
      <c r="O135" s="3" t="s">
        <v>1284</v>
      </c>
      <c r="P135" s="3" t="s">
        <v>1896</v>
      </c>
      <c r="Q135" s="3" t="s">
        <v>943</v>
      </c>
      <c r="R135" s="3" t="s">
        <v>1056</v>
      </c>
      <c r="S135" s="3" t="s">
        <v>1014</v>
      </c>
      <c r="T135" s="3" t="s">
        <v>916</v>
      </c>
    </row>
    <row r="136" spans="2:20">
      <c r="C136" s="3" t="s">
        <v>938</v>
      </c>
      <c r="D136" s="3" t="s">
        <v>916</v>
      </c>
      <c r="E136" s="3" t="s">
        <v>1144</v>
      </c>
      <c r="F136" s="3" t="s">
        <v>1283</v>
      </c>
      <c r="G136" s="3" t="s">
        <v>1195</v>
      </c>
      <c r="H136" s="3" t="s">
        <v>1375</v>
      </c>
      <c r="I136" s="3" t="s">
        <v>1441</v>
      </c>
      <c r="J136" s="3" t="s">
        <v>1011</v>
      </c>
      <c r="K136" s="3" t="s">
        <v>1120</v>
      </c>
      <c r="L136" s="3" t="s">
        <v>1011</v>
      </c>
      <c r="M136" s="3" t="s">
        <v>1791</v>
      </c>
      <c r="N136" s="3" t="s">
        <v>1477</v>
      </c>
      <c r="O136" s="3" t="s">
        <v>1014</v>
      </c>
      <c r="P136" s="3" t="s">
        <v>914</v>
      </c>
      <c r="Q136" s="3" t="s">
        <v>1974</v>
      </c>
      <c r="R136" s="3" t="s">
        <v>1057</v>
      </c>
      <c r="S136" s="3" t="s">
        <v>2177</v>
      </c>
      <c r="T136" s="3" t="s">
        <v>941</v>
      </c>
    </row>
    <row r="137" spans="2:20">
      <c r="C137" s="3" t="s">
        <v>939</v>
      </c>
      <c r="D137" s="3" t="s">
        <v>1020</v>
      </c>
      <c r="E137" s="3" t="s">
        <v>1141</v>
      </c>
      <c r="F137" s="3" t="s">
        <v>914</v>
      </c>
      <c r="G137" s="3" t="s">
        <v>1196</v>
      </c>
      <c r="H137" s="3" t="s">
        <v>916</v>
      </c>
      <c r="I137" s="3" t="s">
        <v>941</v>
      </c>
      <c r="J137" s="3" t="s">
        <v>1569</v>
      </c>
      <c r="K137" s="3" t="s">
        <v>1651</v>
      </c>
      <c r="L137" s="3" t="s">
        <v>1732</v>
      </c>
      <c r="M137" s="3" t="s">
        <v>916</v>
      </c>
      <c r="N137" s="3" t="s">
        <v>1023</v>
      </c>
      <c r="O137" s="3" t="s">
        <v>1016</v>
      </c>
      <c r="P137" s="3" t="s">
        <v>1284</v>
      </c>
      <c r="Q137" s="3" t="s">
        <v>1975</v>
      </c>
      <c r="R137" s="3" t="s">
        <v>1058</v>
      </c>
      <c r="S137" s="3" t="s">
        <v>1042</v>
      </c>
      <c r="T137" s="3" t="s">
        <v>2266</v>
      </c>
    </row>
    <row r="138" spans="2:20">
      <c r="C138" s="3" t="s">
        <v>940</v>
      </c>
      <c r="D138" s="3" t="s">
        <v>1034</v>
      </c>
      <c r="E138" s="3" t="s">
        <v>1145</v>
      </c>
      <c r="F138" s="3" t="s">
        <v>1284</v>
      </c>
      <c r="G138" s="3" t="s">
        <v>916</v>
      </c>
      <c r="H138" s="6"/>
      <c r="I138" s="3" t="s">
        <v>1442</v>
      </c>
      <c r="J138" s="3" t="s">
        <v>1570</v>
      </c>
      <c r="K138" s="3" t="s">
        <v>1078</v>
      </c>
      <c r="L138" s="3" t="s">
        <v>1013</v>
      </c>
      <c r="M138" s="6"/>
      <c r="N138" s="3" t="s">
        <v>912</v>
      </c>
      <c r="O138" s="3" t="s">
        <v>1009</v>
      </c>
      <c r="P138" s="3" t="s">
        <v>1014</v>
      </c>
      <c r="Q138" s="3" t="s">
        <v>1976</v>
      </c>
      <c r="R138" s="3" t="s">
        <v>2063</v>
      </c>
      <c r="S138" s="3" t="s">
        <v>2178</v>
      </c>
      <c r="T138" s="3" t="s">
        <v>2267</v>
      </c>
    </row>
    <row r="139" spans="2:20">
      <c r="C139" s="3" t="s">
        <v>941</v>
      </c>
      <c r="D139" s="3" t="s">
        <v>1027</v>
      </c>
      <c r="E139" s="3" t="s">
        <v>1143</v>
      </c>
      <c r="F139" s="3" t="s">
        <v>1014</v>
      </c>
      <c r="G139" s="3" t="s">
        <v>1190</v>
      </c>
      <c r="H139" s="3" t="s">
        <v>1376</v>
      </c>
      <c r="I139" s="3" t="s">
        <v>943</v>
      </c>
      <c r="J139" s="3" t="s">
        <v>1013</v>
      </c>
      <c r="K139" s="3" t="s">
        <v>1016</v>
      </c>
      <c r="L139" s="3" t="s">
        <v>1014</v>
      </c>
      <c r="M139" s="3" t="s">
        <v>1792</v>
      </c>
      <c r="N139" s="3" t="s">
        <v>1478</v>
      </c>
      <c r="O139" s="3" t="s">
        <v>1010</v>
      </c>
      <c r="P139" s="3" t="s">
        <v>1897</v>
      </c>
      <c r="Q139" s="3" t="s">
        <v>1977</v>
      </c>
      <c r="R139" s="4" t="s">
        <v>1060</v>
      </c>
      <c r="S139" s="3" t="s">
        <v>2179</v>
      </c>
      <c r="T139" s="3" t="s">
        <v>1078</v>
      </c>
    </row>
    <row r="140" spans="2:20">
      <c r="B140" t="str">
        <f>RIGHT(C140,LEN(C140)-3-FIND("src",C140))</f>
        <v>"../img/tourdivide/day01/day01pic04.jpg" alt="" style="width:95%"&gt;</v>
      </c>
      <c r="C140" s="3" t="s">
        <v>942</v>
      </c>
      <c r="D140" s="4" t="s">
        <v>1035</v>
      </c>
      <c r="E140" s="3" t="s">
        <v>1041</v>
      </c>
      <c r="F140" s="3" t="s">
        <v>1285</v>
      </c>
      <c r="G140" s="3" t="s">
        <v>1197</v>
      </c>
      <c r="H140" s="3" t="s">
        <v>1193</v>
      </c>
      <c r="I140" s="3" t="s">
        <v>925</v>
      </c>
      <c r="J140" s="3" t="s">
        <v>1014</v>
      </c>
      <c r="K140" s="3" t="s">
        <v>917</v>
      </c>
      <c r="L140" s="3" t="s">
        <v>1016</v>
      </c>
      <c r="M140" s="3" t="s">
        <v>1793</v>
      </c>
      <c r="N140" s="3" t="s">
        <v>1479</v>
      </c>
      <c r="O140" s="3" t="s">
        <v>1816</v>
      </c>
      <c r="P140" s="3" t="s">
        <v>1042</v>
      </c>
      <c r="Q140" s="3" t="s">
        <v>1978</v>
      </c>
      <c r="R140" s="3" t="s">
        <v>1061</v>
      </c>
      <c r="S140" s="3" t="s">
        <v>2180</v>
      </c>
      <c r="T140" s="3" t="s">
        <v>943</v>
      </c>
    </row>
    <row r="141" spans="2:20">
      <c r="C141" s="3" t="s">
        <v>943</v>
      </c>
      <c r="D141" s="3" t="s">
        <v>1023</v>
      </c>
      <c r="E141" s="3" t="s">
        <v>1146</v>
      </c>
      <c r="F141" s="3" t="s">
        <v>1042</v>
      </c>
      <c r="G141" s="4" t="s">
        <v>1192</v>
      </c>
      <c r="H141" s="3" t="s">
        <v>943</v>
      </c>
      <c r="I141" s="3" t="s">
        <v>1443</v>
      </c>
      <c r="J141" s="3" t="s">
        <v>1016</v>
      </c>
      <c r="K141" s="3" t="s">
        <v>1652</v>
      </c>
      <c r="L141" s="3" t="s">
        <v>912</v>
      </c>
      <c r="M141" s="3" t="s">
        <v>1078</v>
      </c>
      <c r="N141" s="6"/>
      <c r="O141" s="3" t="s">
        <v>1819</v>
      </c>
      <c r="P141" s="3" t="s">
        <v>1898</v>
      </c>
      <c r="Q141" s="3" t="s">
        <v>1979</v>
      </c>
      <c r="R141" s="3" t="s">
        <v>2064</v>
      </c>
      <c r="S141" s="6"/>
      <c r="T141" s="3" t="s">
        <v>2268</v>
      </c>
    </row>
    <row r="142" spans="2:20">
      <c r="C142" s="3" t="s">
        <v>944</v>
      </c>
      <c r="D142" s="3" t="s">
        <v>1036</v>
      </c>
      <c r="E142" s="3" t="s">
        <v>1016</v>
      </c>
      <c r="F142" s="3" t="s">
        <v>1286</v>
      </c>
      <c r="G142" s="3" t="s">
        <v>1193</v>
      </c>
      <c r="H142" s="6"/>
      <c r="I142" s="3" t="s">
        <v>1444</v>
      </c>
      <c r="J142" s="3" t="s">
        <v>1571</v>
      </c>
      <c r="K142" s="3" t="s">
        <v>1653</v>
      </c>
      <c r="L142" s="3" t="s">
        <v>1733</v>
      </c>
      <c r="M142" s="3" t="s">
        <v>1718</v>
      </c>
      <c r="N142" s="3" t="s">
        <v>1480</v>
      </c>
      <c r="O142" s="3" t="s">
        <v>1820</v>
      </c>
      <c r="P142" s="3" t="s">
        <v>1015</v>
      </c>
      <c r="Q142" s="3" t="s">
        <v>1980</v>
      </c>
      <c r="R142" s="3" t="s">
        <v>1063</v>
      </c>
      <c r="S142" s="3" t="s">
        <v>1015</v>
      </c>
      <c r="T142" s="3" t="s">
        <v>1974</v>
      </c>
    </row>
    <row r="143" spans="2:20">
      <c r="B143" t="str">
        <f>_xlfn.CONCAT(C143:C161)</f>
        <v xml:space="preserve">     This was about the time I was going to start going downhill so the day got better with the last 20 miles much     easier     than the first. I rolled into Bolton Creek campground about 6pm and realized the first rule of the Tour Divide     (TD).     You always go up at the end of the day. The office was lower than the shower which was lower than the actual     camp spot.     &lt;br&gt;     The camp was being harassed by a grizzly so the only person &lt;b&gt; not &lt;/b&gt; encased in a steel can would need     to be careful. I guess grizzlies don’t know that $350,000 motor homes have a lot more food     than a biker. So after a relatively good day I was presented with my first real issues.     &lt;br&gt; &amp;nbsp;&amp;nbsp;&amp;nbsp;&amp;nbsp;&amp;#8226;&amp;nbsp; One of my "notube" tires was pretty flat,     &lt;br&gt; &amp;nbsp;&amp;nbsp;&amp;nbsp;&amp;nbsp;&amp;#8226;&amp;nbsp; I was getting eaten by mosquitoes&lt;br&gt;     &amp;nbsp;&amp;nbsp;&amp;nbsp;&amp;nbsp;&amp;#8226;&amp;nbsp; And when I had stopped to take a shower I had left my bike helmet by the     bathroom.     &lt;br&gt;&lt;br&gt; I raced back to the office to get some Off spray, but when I went looking for my helmet it was gone.     So now I was 100 miles from the nearest bike shop with flat tires and no helmet.     &lt;br&gt;&lt;br&gt; Somewhere along the way I sent out my first end of day message to my family. &lt;b&gt;&gt;&lt;u&gt;"This is      Jim and I am at the end of another amazing day on the Tour Divide"&lt;/u&gt;&lt;/b&gt;    &lt;/p&gt;</v>
      </c>
      <c r="C143" s="3" t="s">
        <v>945</v>
      </c>
      <c r="D143" s="3" t="s">
        <v>1020</v>
      </c>
      <c r="E143" s="3" t="s">
        <v>1117</v>
      </c>
      <c r="F143" s="3" t="s">
        <v>1287</v>
      </c>
      <c r="G143" s="3" t="s">
        <v>943</v>
      </c>
      <c r="H143" s="3" t="s">
        <v>1376</v>
      </c>
      <c r="I143" s="3" t="s">
        <v>1445</v>
      </c>
      <c r="J143" s="3" t="s">
        <v>912</v>
      </c>
      <c r="K143" s="3" t="s">
        <v>927</v>
      </c>
      <c r="L143" s="3" t="s">
        <v>1734</v>
      </c>
      <c r="M143" s="3" t="s">
        <v>912</v>
      </c>
      <c r="N143" s="3" t="s">
        <v>1481</v>
      </c>
      <c r="O143" s="3" t="s">
        <v>914</v>
      </c>
      <c r="P143" s="3" t="s">
        <v>1014</v>
      </c>
      <c r="Q143" s="3" t="s">
        <v>1981</v>
      </c>
      <c r="R143" s="3" t="s">
        <v>1064</v>
      </c>
      <c r="S143" s="3" t="s">
        <v>1014</v>
      </c>
      <c r="T143" s="3" t="s">
        <v>1975</v>
      </c>
    </row>
    <row r="144" spans="2:20">
      <c r="C144" s="3" t="s">
        <v>946</v>
      </c>
      <c r="D144" s="3" t="s">
        <v>1037</v>
      </c>
      <c r="E144" s="3" t="s">
        <v>1147</v>
      </c>
      <c r="F144" s="3" t="s">
        <v>1015</v>
      </c>
      <c r="G144" s="3" t="s">
        <v>1198</v>
      </c>
      <c r="H144" s="3" t="s">
        <v>1377</v>
      </c>
      <c r="I144" s="3" t="s">
        <v>1446</v>
      </c>
      <c r="J144" s="3" t="s">
        <v>1572</v>
      </c>
      <c r="K144" s="3" t="s">
        <v>1654</v>
      </c>
      <c r="L144" s="6"/>
      <c r="M144" s="3" t="s">
        <v>1794</v>
      </c>
      <c r="N144" s="3" t="s">
        <v>1482</v>
      </c>
      <c r="O144" s="3" t="s">
        <v>1284</v>
      </c>
      <c r="P144" s="3" t="s">
        <v>1016</v>
      </c>
      <c r="Q144" s="3" t="s">
        <v>1982</v>
      </c>
      <c r="R144" s="3" t="s">
        <v>915</v>
      </c>
      <c r="S144" s="3" t="s">
        <v>1016</v>
      </c>
      <c r="T144" s="3" t="s">
        <v>1976</v>
      </c>
    </row>
    <row r="145" spans="3:20">
      <c r="C145" s="3" t="s">
        <v>947</v>
      </c>
      <c r="D145" s="3" t="s">
        <v>1023</v>
      </c>
      <c r="E145" s="3" t="s">
        <v>1148</v>
      </c>
      <c r="F145" s="3" t="s">
        <v>1014</v>
      </c>
      <c r="G145" s="3" t="s">
        <v>1199</v>
      </c>
      <c r="H145" s="3" t="s">
        <v>943</v>
      </c>
      <c r="I145" s="6"/>
      <c r="J145" s="3" t="s">
        <v>1573</v>
      </c>
      <c r="K145" s="3" t="s">
        <v>929</v>
      </c>
      <c r="L145" s="3" t="s">
        <v>916</v>
      </c>
      <c r="M145" s="3" t="s">
        <v>1795</v>
      </c>
      <c r="N145" s="3" t="s">
        <v>916</v>
      </c>
      <c r="O145" s="3" t="s">
        <v>1014</v>
      </c>
      <c r="P145" s="6"/>
      <c r="Q145" s="3" t="s">
        <v>1983</v>
      </c>
      <c r="R145" s="3" t="s">
        <v>2065</v>
      </c>
      <c r="S145" s="6"/>
      <c r="T145" s="3" t="s">
        <v>1977</v>
      </c>
    </row>
    <row r="146" spans="3:20">
      <c r="C146" s="3" t="s">
        <v>948</v>
      </c>
      <c r="D146" s="3" t="s">
        <v>1038</v>
      </c>
      <c r="E146" s="3" t="s">
        <v>1149</v>
      </c>
      <c r="F146" s="3" t="s">
        <v>1016</v>
      </c>
      <c r="G146" s="3" t="s">
        <v>1200</v>
      </c>
      <c r="H146" s="3" t="s">
        <v>1376</v>
      </c>
      <c r="I146" s="3" t="s">
        <v>927</v>
      </c>
      <c r="J146" s="3" t="s">
        <v>916</v>
      </c>
      <c r="K146" s="3" t="s">
        <v>921</v>
      </c>
      <c r="L146" s="3" t="s">
        <v>1009</v>
      </c>
      <c r="M146" s="3" t="s">
        <v>916</v>
      </c>
      <c r="N146" s="3" t="s">
        <v>1483</v>
      </c>
      <c r="O146" s="3" t="s">
        <v>1010</v>
      </c>
      <c r="P146" s="3" t="s">
        <v>1009</v>
      </c>
      <c r="Q146" s="3" t="s">
        <v>1984</v>
      </c>
      <c r="R146" s="4" t="s">
        <v>1066</v>
      </c>
      <c r="S146" s="3" t="s">
        <v>1009</v>
      </c>
      <c r="T146" s="3" t="s">
        <v>1978</v>
      </c>
    </row>
    <row r="147" spans="3:20">
      <c r="C147" s="3" t="s">
        <v>949</v>
      </c>
      <c r="D147" s="3" t="s">
        <v>1009</v>
      </c>
      <c r="E147" s="3" t="s">
        <v>1150</v>
      </c>
      <c r="F147" s="6"/>
      <c r="G147" s="3" t="s">
        <v>1201</v>
      </c>
      <c r="H147" s="3" t="s">
        <v>1378</v>
      </c>
      <c r="I147" s="3" t="s">
        <v>1447</v>
      </c>
      <c r="J147" s="3" t="s">
        <v>1475</v>
      </c>
      <c r="K147" s="3" t="s">
        <v>1655</v>
      </c>
      <c r="L147" s="3" t="s">
        <v>1010</v>
      </c>
      <c r="M147" s="3" t="s">
        <v>912</v>
      </c>
      <c r="N147" s="6"/>
      <c r="O147" s="3" t="s">
        <v>1042</v>
      </c>
      <c r="P147" s="3" t="s">
        <v>1894</v>
      </c>
      <c r="Q147" s="4" t="s">
        <v>1985</v>
      </c>
      <c r="R147" s="3" t="s">
        <v>1061</v>
      </c>
      <c r="S147" s="3" t="s">
        <v>2174</v>
      </c>
      <c r="T147" s="3" t="s">
        <v>1979</v>
      </c>
    </row>
    <row r="148" spans="3:20">
      <c r="C148" s="3" t="s">
        <v>950</v>
      </c>
      <c r="D148" s="3" t="s">
        <v>1010</v>
      </c>
      <c r="E148" s="3" t="s">
        <v>1151</v>
      </c>
      <c r="F148" s="3" t="s">
        <v>912</v>
      </c>
      <c r="G148" s="3" t="s">
        <v>1202</v>
      </c>
      <c r="H148" s="3" t="s">
        <v>1379</v>
      </c>
      <c r="I148" s="3" t="s">
        <v>929</v>
      </c>
      <c r="J148" s="3" t="s">
        <v>1009</v>
      </c>
      <c r="K148" s="3" t="s">
        <v>1656</v>
      </c>
      <c r="L148" s="3" t="s">
        <v>1011</v>
      </c>
      <c r="M148" s="3" t="s">
        <v>1796</v>
      </c>
      <c r="N148" s="3" t="s">
        <v>1009</v>
      </c>
      <c r="O148" s="3" t="s">
        <v>1821</v>
      </c>
      <c r="P148" s="3" t="s">
        <v>1816</v>
      </c>
      <c r="Q148" s="3" t="s">
        <v>1986</v>
      </c>
      <c r="R148" s="3" t="s">
        <v>2064</v>
      </c>
      <c r="S148" s="3" t="s">
        <v>1816</v>
      </c>
      <c r="T148" s="3" t="s">
        <v>1980</v>
      </c>
    </row>
    <row r="149" spans="3:20">
      <c r="C149" s="3" t="s">
        <v>944</v>
      </c>
      <c r="D149" s="3" t="s">
        <v>1011</v>
      </c>
      <c r="E149" s="3" t="s">
        <v>1152</v>
      </c>
      <c r="F149" s="3" t="s">
        <v>1288</v>
      </c>
      <c r="G149" s="3" t="s">
        <v>1203</v>
      </c>
      <c r="H149" s="3" t="s">
        <v>1380</v>
      </c>
      <c r="I149" s="6"/>
      <c r="J149" s="3" t="s">
        <v>1010</v>
      </c>
      <c r="K149" s="3" t="s">
        <v>1657</v>
      </c>
      <c r="L149" s="3" t="s">
        <v>1735</v>
      </c>
      <c r="M149" s="3" t="s">
        <v>916</v>
      </c>
      <c r="N149" s="3" t="s">
        <v>1010</v>
      </c>
      <c r="O149" s="3" t="s">
        <v>1822</v>
      </c>
      <c r="P149" s="3" t="s">
        <v>1899</v>
      </c>
      <c r="Q149" s="3" t="s">
        <v>1987</v>
      </c>
      <c r="R149" s="3" t="s">
        <v>1067</v>
      </c>
      <c r="S149" s="3" t="s">
        <v>2181</v>
      </c>
      <c r="T149" s="3" t="s">
        <v>1982</v>
      </c>
    </row>
    <row r="150" spans="3:20">
      <c r="C150" s="3" t="s">
        <v>951</v>
      </c>
      <c r="D150" s="3" t="s">
        <v>1039</v>
      </c>
      <c r="E150" s="3" t="s">
        <v>1153</v>
      </c>
      <c r="F150" s="3" t="s">
        <v>1289</v>
      </c>
      <c r="G150" s="3" t="s">
        <v>916</v>
      </c>
      <c r="H150" s="3" t="s">
        <v>916</v>
      </c>
      <c r="I150" s="3" t="s">
        <v>1448</v>
      </c>
      <c r="J150" s="3" t="s">
        <v>1011</v>
      </c>
      <c r="K150" s="3" t="s">
        <v>925</v>
      </c>
      <c r="L150" s="3" t="s">
        <v>1736</v>
      </c>
      <c r="M150" s="3" t="s">
        <v>912</v>
      </c>
      <c r="N150" s="3" t="s">
        <v>1011</v>
      </c>
      <c r="O150" s="3" t="s">
        <v>1015</v>
      </c>
      <c r="P150" s="3" t="s">
        <v>1900</v>
      </c>
      <c r="Q150" s="3" t="s">
        <v>1988</v>
      </c>
      <c r="R150" s="3" t="s">
        <v>1064</v>
      </c>
      <c r="S150" s="3" t="s">
        <v>2182</v>
      </c>
      <c r="T150" s="3" t="s">
        <v>1983</v>
      </c>
    </row>
    <row r="151" spans="3:20">
      <c r="C151" s="3" t="s">
        <v>952</v>
      </c>
      <c r="D151" s="3" t="s">
        <v>1040</v>
      </c>
      <c r="E151" s="3" t="s">
        <v>1016</v>
      </c>
      <c r="F151" s="3" t="s">
        <v>1290</v>
      </c>
      <c r="G151" s="3" t="s">
        <v>1190</v>
      </c>
      <c r="H151" s="3" t="s">
        <v>912</v>
      </c>
      <c r="I151" s="3" t="s">
        <v>1449</v>
      </c>
      <c r="J151" s="3" t="s">
        <v>1574</v>
      </c>
      <c r="K151" s="3" t="s">
        <v>1658</v>
      </c>
      <c r="L151" s="3" t="s">
        <v>1664</v>
      </c>
      <c r="M151" s="3" t="s">
        <v>1797</v>
      </c>
      <c r="N151" s="3" t="s">
        <v>1484</v>
      </c>
      <c r="O151" s="3" t="s">
        <v>1014</v>
      </c>
      <c r="P151" s="3" t="s">
        <v>914</v>
      </c>
      <c r="Q151" s="3" t="s">
        <v>1989</v>
      </c>
      <c r="R151" s="3" t="s">
        <v>915</v>
      </c>
      <c r="S151" s="3" t="s">
        <v>2183</v>
      </c>
      <c r="T151" s="3" t="s">
        <v>2269</v>
      </c>
    </row>
    <row r="152" spans="3:20">
      <c r="C152" s="3" t="s">
        <v>953</v>
      </c>
      <c r="D152" s="3" t="s">
        <v>1041</v>
      </c>
      <c r="E152" s="6"/>
      <c r="F152" s="3" t="s">
        <v>916</v>
      </c>
      <c r="G152" s="3" t="s">
        <v>1204</v>
      </c>
      <c r="H152" s="3" t="s">
        <v>1381</v>
      </c>
      <c r="I152" s="3" t="s">
        <v>943</v>
      </c>
      <c r="J152" s="3" t="s">
        <v>1013</v>
      </c>
      <c r="K152" s="3" t="s">
        <v>1659</v>
      </c>
      <c r="L152" s="3" t="s">
        <v>1013</v>
      </c>
      <c r="M152" s="3" t="s">
        <v>916</v>
      </c>
      <c r="N152" s="3" t="s">
        <v>1485</v>
      </c>
      <c r="O152" s="3" t="s">
        <v>1016</v>
      </c>
      <c r="P152" s="3" t="s">
        <v>1284</v>
      </c>
      <c r="Q152" s="3" t="s">
        <v>1990</v>
      </c>
      <c r="R152" s="3" t="s">
        <v>2066</v>
      </c>
      <c r="S152" s="3" t="s">
        <v>914</v>
      </c>
      <c r="T152" s="4" t="s">
        <v>1985</v>
      </c>
    </row>
    <row r="153" spans="3:20">
      <c r="C153" s="3" t="s">
        <v>954</v>
      </c>
      <c r="D153" s="3" t="s">
        <v>1013</v>
      </c>
      <c r="E153" s="3" t="s">
        <v>1154</v>
      </c>
      <c r="F153" s="3" t="s">
        <v>1262</v>
      </c>
      <c r="G153" s="4" t="s">
        <v>1192</v>
      </c>
      <c r="H153" s="3" t="s">
        <v>916</v>
      </c>
      <c r="I153" s="3" t="s">
        <v>1450</v>
      </c>
      <c r="J153" s="3" t="s">
        <v>1575</v>
      </c>
      <c r="K153" s="3" t="s">
        <v>941</v>
      </c>
      <c r="L153" s="3" t="s">
        <v>1014</v>
      </c>
      <c r="M153" s="3" t="s">
        <v>1107</v>
      </c>
      <c r="N153" s="3" t="s">
        <v>1013</v>
      </c>
      <c r="O153" s="3" t="s">
        <v>1475</v>
      </c>
      <c r="P153" s="3" t="s">
        <v>1014</v>
      </c>
      <c r="Q153" s="3" t="s">
        <v>1991</v>
      </c>
      <c r="R153" s="4" t="s">
        <v>1066</v>
      </c>
      <c r="S153" s="3" t="s">
        <v>1284</v>
      </c>
      <c r="T153" s="3" t="s">
        <v>1986</v>
      </c>
    </row>
    <row r="154" spans="3:20">
      <c r="C154" s="3" t="s">
        <v>955</v>
      </c>
      <c r="D154" s="6"/>
      <c r="E154" s="3" t="s">
        <v>1120</v>
      </c>
      <c r="F154" s="3" t="s">
        <v>1291</v>
      </c>
      <c r="G154" s="3" t="s">
        <v>1193</v>
      </c>
      <c r="H154" s="3" t="s">
        <v>941</v>
      </c>
      <c r="I154" s="3" t="s">
        <v>1451</v>
      </c>
      <c r="J154" s="3" t="s">
        <v>1014</v>
      </c>
      <c r="K154" s="3" t="s">
        <v>1660</v>
      </c>
      <c r="L154" s="3" t="s">
        <v>1010</v>
      </c>
      <c r="M154" s="6"/>
      <c r="N154" s="3" t="s">
        <v>1014</v>
      </c>
      <c r="O154" s="3" t="s">
        <v>941</v>
      </c>
      <c r="P154" s="3" t="s">
        <v>1897</v>
      </c>
      <c r="Q154" s="4" t="s">
        <v>1992</v>
      </c>
      <c r="R154" s="3" t="s">
        <v>1061</v>
      </c>
      <c r="S154" s="3" t="s">
        <v>1014</v>
      </c>
      <c r="T154" s="3" t="s">
        <v>2270</v>
      </c>
    </row>
    <row r="155" spans="3:20">
      <c r="C155" s="3" t="s">
        <v>956</v>
      </c>
      <c r="D155" s="3" t="s">
        <v>1014</v>
      </c>
      <c r="E155" s="3" t="s">
        <v>1155</v>
      </c>
      <c r="F155" s="3" t="s">
        <v>943</v>
      </c>
      <c r="G155" s="3" t="s">
        <v>943</v>
      </c>
      <c r="H155" s="3" t="s">
        <v>1382</v>
      </c>
      <c r="I155" s="3" t="s">
        <v>925</v>
      </c>
      <c r="J155" s="3" t="s">
        <v>1010</v>
      </c>
      <c r="K155" s="3" t="s">
        <v>943</v>
      </c>
      <c r="L155" s="3" t="s">
        <v>1737</v>
      </c>
      <c r="M155" s="2" t="s">
        <v>1798</v>
      </c>
      <c r="N155" s="3" t="s">
        <v>1010</v>
      </c>
      <c r="O155" s="3" t="s">
        <v>1823</v>
      </c>
      <c r="P155" s="6"/>
      <c r="Q155" s="3" t="s">
        <v>1986</v>
      </c>
      <c r="R155" s="3" t="s">
        <v>2064</v>
      </c>
      <c r="S155" s="3" t="s">
        <v>1016</v>
      </c>
      <c r="T155" s="3" t="s">
        <v>2271</v>
      </c>
    </row>
    <row r="156" spans="3:20">
      <c r="C156" s="3" t="s">
        <v>957</v>
      </c>
      <c r="D156" s="3" t="s">
        <v>1010</v>
      </c>
      <c r="E156" s="3" t="s">
        <v>1078</v>
      </c>
      <c r="F156" s="3" t="s">
        <v>1292</v>
      </c>
      <c r="G156" s="3" t="s">
        <v>1205</v>
      </c>
      <c r="H156" s="6"/>
      <c r="I156" s="3" t="s">
        <v>927</v>
      </c>
      <c r="J156" s="3" t="s">
        <v>1042</v>
      </c>
      <c r="K156" s="3" t="s">
        <v>917</v>
      </c>
      <c r="L156" s="3" t="s">
        <v>1738</v>
      </c>
      <c r="M156" s="4" t="s">
        <v>1709</v>
      </c>
      <c r="N156" s="3" t="s">
        <v>1011</v>
      </c>
      <c r="O156" s="3" t="s">
        <v>943</v>
      </c>
      <c r="P156" s="3" t="s">
        <v>1014</v>
      </c>
      <c r="Q156" s="3" t="s">
        <v>1993</v>
      </c>
      <c r="R156" s="3" t="s">
        <v>1069</v>
      </c>
      <c r="S156" s="3" t="s">
        <v>912</v>
      </c>
      <c r="T156" s="3" t="s">
        <v>1989</v>
      </c>
    </row>
    <row r="157" spans="3:20">
      <c r="C157" s="3" t="s">
        <v>958</v>
      </c>
      <c r="D157" s="3" t="s">
        <v>1042</v>
      </c>
      <c r="E157" s="3" t="s">
        <v>916</v>
      </c>
      <c r="F157" s="3" t="s">
        <v>1293</v>
      </c>
      <c r="G157" s="3" t="s">
        <v>1206</v>
      </c>
      <c r="H157" s="3" t="s">
        <v>943</v>
      </c>
      <c r="I157" s="3" t="s">
        <v>1452</v>
      </c>
      <c r="J157" s="3" t="s">
        <v>1576</v>
      </c>
      <c r="K157" s="3" t="s">
        <v>1659</v>
      </c>
      <c r="L157" s="3" t="s">
        <v>1739</v>
      </c>
      <c r="M157" s="3" t="s">
        <v>1710</v>
      </c>
      <c r="N157" s="3" t="s">
        <v>1486</v>
      </c>
      <c r="O157" s="6"/>
      <c r="P157" s="3" t="s">
        <v>1016</v>
      </c>
      <c r="Q157" s="3" t="s">
        <v>1994</v>
      </c>
      <c r="R157" s="3" t="s">
        <v>1064</v>
      </c>
      <c r="S157" s="3" t="s">
        <v>2184</v>
      </c>
      <c r="T157" s="3" t="s">
        <v>1990</v>
      </c>
    </row>
    <row r="158" spans="3:20">
      <c r="C158" s="3" t="s">
        <v>959</v>
      </c>
      <c r="D158" s="3" t="s">
        <v>1043</v>
      </c>
      <c r="E158" s="3" t="s">
        <v>912</v>
      </c>
      <c r="F158" s="3" t="s">
        <v>1294</v>
      </c>
      <c r="G158" s="3" t="s">
        <v>1207</v>
      </c>
      <c r="H158" s="3" t="s">
        <v>912</v>
      </c>
      <c r="I158" s="3" t="s">
        <v>929</v>
      </c>
      <c r="J158" s="3" t="s">
        <v>1577</v>
      </c>
      <c r="K158" s="3" t="s">
        <v>941</v>
      </c>
      <c r="L158" s="3" t="s">
        <v>1015</v>
      </c>
      <c r="M158" s="3" t="s">
        <v>969</v>
      </c>
      <c r="N158" s="3" t="s">
        <v>1013</v>
      </c>
      <c r="O158" s="3" t="s">
        <v>912</v>
      </c>
      <c r="P158" s="3" t="s">
        <v>1901</v>
      </c>
      <c r="Q158" s="3" t="s">
        <v>1989</v>
      </c>
      <c r="R158" s="3" t="s">
        <v>915</v>
      </c>
      <c r="S158" s="3" t="s">
        <v>916</v>
      </c>
      <c r="T158" s="3" t="s">
        <v>2272</v>
      </c>
    </row>
    <row r="159" spans="3:20">
      <c r="C159" s="3" t="s">
        <v>960</v>
      </c>
      <c r="D159" s="3" t="s">
        <v>1044</v>
      </c>
      <c r="E159" s="3" t="s">
        <v>1156</v>
      </c>
      <c r="F159" s="3" t="s">
        <v>1295</v>
      </c>
      <c r="G159" s="3" t="s">
        <v>1208</v>
      </c>
      <c r="H159" s="3" t="s">
        <v>1383</v>
      </c>
      <c r="I159" s="3" t="s">
        <v>964</v>
      </c>
      <c r="J159" s="3" t="s">
        <v>1578</v>
      </c>
      <c r="K159" s="3" t="s">
        <v>1661</v>
      </c>
      <c r="L159" s="3" t="s">
        <v>1014</v>
      </c>
      <c r="M159" s="3" t="s">
        <v>929</v>
      </c>
      <c r="N159" s="3" t="s">
        <v>1014</v>
      </c>
      <c r="O159" s="3" t="s">
        <v>1824</v>
      </c>
      <c r="P159" s="3" t="s">
        <v>912</v>
      </c>
      <c r="Q159" s="3" t="s">
        <v>1990</v>
      </c>
      <c r="R159" s="3" t="s">
        <v>2067</v>
      </c>
      <c r="S159" s="3" t="s">
        <v>1117</v>
      </c>
      <c r="T159" s="4" t="s">
        <v>1992</v>
      </c>
    </row>
    <row r="160" spans="3:20">
      <c r="C160" s="3" t="s">
        <v>961</v>
      </c>
      <c r="D160" s="3" t="s">
        <v>1045</v>
      </c>
      <c r="E160" s="3" t="s">
        <v>1157</v>
      </c>
      <c r="F160" s="3" t="s">
        <v>1296</v>
      </c>
      <c r="G160" s="3" t="s">
        <v>916</v>
      </c>
      <c r="H160" s="3" t="s">
        <v>916</v>
      </c>
      <c r="I160" s="3" t="s">
        <v>1164</v>
      </c>
      <c r="J160" s="3" t="s">
        <v>1579</v>
      </c>
      <c r="K160" s="3" t="s">
        <v>1465</v>
      </c>
      <c r="L160" s="3" t="s">
        <v>1016</v>
      </c>
      <c r="M160" s="3" t="s">
        <v>1706</v>
      </c>
      <c r="N160" s="3" t="s">
        <v>1016</v>
      </c>
      <c r="O160" s="3" t="s">
        <v>1825</v>
      </c>
      <c r="P160" s="3" t="s">
        <v>1902</v>
      </c>
      <c r="Q160" s="3" t="s">
        <v>1995</v>
      </c>
      <c r="R160" s="4" t="s">
        <v>1066</v>
      </c>
      <c r="S160" s="3" t="s">
        <v>2185</v>
      </c>
      <c r="T160" s="3" t="s">
        <v>1986</v>
      </c>
    </row>
    <row r="161" spans="2:20">
      <c r="C161" s="3" t="s">
        <v>925</v>
      </c>
      <c r="D161" s="3" t="s">
        <v>1046</v>
      </c>
      <c r="E161" s="3" t="s">
        <v>1120</v>
      </c>
      <c r="F161" s="3" t="s">
        <v>1297</v>
      </c>
      <c r="G161" s="3" t="s">
        <v>1117</v>
      </c>
      <c r="H161" s="3" t="s">
        <v>941</v>
      </c>
      <c r="I161" s="3" t="s">
        <v>1165</v>
      </c>
      <c r="J161" s="3" t="s">
        <v>1015</v>
      </c>
      <c r="K161" s="3" t="s">
        <v>1662</v>
      </c>
      <c r="L161" s="3" t="s">
        <v>1740</v>
      </c>
      <c r="M161" s="3" t="s">
        <v>1536</v>
      </c>
      <c r="N161" s="3" t="s">
        <v>912</v>
      </c>
      <c r="O161" s="3" t="s">
        <v>1826</v>
      </c>
      <c r="P161" s="3" t="s">
        <v>916</v>
      </c>
      <c r="Q161" s="4" t="s">
        <v>1992</v>
      </c>
      <c r="R161" s="3" t="s">
        <v>1061</v>
      </c>
      <c r="S161" s="3" t="s">
        <v>2186</v>
      </c>
      <c r="T161" s="3" t="s">
        <v>2270</v>
      </c>
    </row>
    <row r="162" spans="2:20">
      <c r="C162" s="3" t="s">
        <v>962</v>
      </c>
      <c r="D162" s="3" t="s">
        <v>1047</v>
      </c>
      <c r="E162" s="3" t="s">
        <v>1158</v>
      </c>
      <c r="F162" s="6"/>
      <c r="G162" s="3" t="s">
        <v>1209</v>
      </c>
      <c r="H162" s="3" t="s">
        <v>1384</v>
      </c>
      <c r="I162" s="3" t="s">
        <v>966</v>
      </c>
      <c r="J162" s="3" t="s">
        <v>1014</v>
      </c>
      <c r="K162" s="3" t="s">
        <v>1663</v>
      </c>
      <c r="L162" s="3" t="s">
        <v>1020</v>
      </c>
      <c r="M162" s="6"/>
      <c r="N162" s="3" t="s">
        <v>1487</v>
      </c>
      <c r="O162" s="3" t="s">
        <v>916</v>
      </c>
      <c r="P162" s="3" t="s">
        <v>941</v>
      </c>
      <c r="Q162" s="3" t="s">
        <v>1986</v>
      </c>
      <c r="R162" s="3" t="s">
        <v>2064</v>
      </c>
      <c r="S162" s="3" t="s">
        <v>1163</v>
      </c>
      <c r="T162" s="3" t="s">
        <v>2273</v>
      </c>
    </row>
    <row r="163" spans="2:20">
      <c r="C163" s="3" t="s">
        <v>927</v>
      </c>
      <c r="D163" s="3" t="s">
        <v>1048</v>
      </c>
      <c r="E163" s="3" t="s">
        <v>1159</v>
      </c>
      <c r="F163" s="3" t="s">
        <v>916</v>
      </c>
      <c r="G163" s="3" t="s">
        <v>1210</v>
      </c>
      <c r="H163" s="3" t="s">
        <v>943</v>
      </c>
      <c r="I163" s="6"/>
      <c r="J163" s="3" t="s">
        <v>1016</v>
      </c>
      <c r="K163" s="3" t="s">
        <v>1664</v>
      </c>
      <c r="L163" s="3" t="s">
        <v>1741</v>
      </c>
      <c r="M163" s="3" t="s">
        <v>1453</v>
      </c>
      <c r="N163" s="3" t="s">
        <v>1488</v>
      </c>
      <c r="O163" s="3" t="s">
        <v>941</v>
      </c>
      <c r="P163" s="3" t="s">
        <v>1903</v>
      </c>
      <c r="Q163" s="3" t="s">
        <v>1996</v>
      </c>
      <c r="R163" s="3" t="s">
        <v>1071</v>
      </c>
      <c r="S163" s="3" t="s">
        <v>1016</v>
      </c>
      <c r="T163" s="3" t="s">
        <v>1989</v>
      </c>
    </row>
    <row r="164" spans="2:20">
      <c r="B164" t="str">
        <f>RIGHT(C164,LEN(C164)-3-FIND("src",C164))</f>
        <v>"../img/tourdivide/day01/day01pic05.jpg" alt=""&gt;</v>
      </c>
      <c r="C164" s="3" t="s">
        <v>963</v>
      </c>
      <c r="D164" s="3" t="s">
        <v>1049</v>
      </c>
      <c r="E164" s="3" t="s">
        <v>1041</v>
      </c>
      <c r="F164" s="3" t="s">
        <v>1298</v>
      </c>
      <c r="G164" s="3" t="s">
        <v>1016</v>
      </c>
      <c r="H164" s="3" t="s">
        <v>1385</v>
      </c>
      <c r="I164" s="3" t="s">
        <v>967</v>
      </c>
      <c r="J164" s="3" t="s">
        <v>1475</v>
      </c>
      <c r="K164" s="3" t="s">
        <v>1379</v>
      </c>
      <c r="L164" s="6"/>
      <c r="M164" s="3" t="s">
        <v>1711</v>
      </c>
      <c r="N164" s="3" t="s">
        <v>916</v>
      </c>
      <c r="O164" s="3" t="s">
        <v>1827</v>
      </c>
      <c r="P164" s="3" t="s">
        <v>943</v>
      </c>
      <c r="Q164" s="3" t="s">
        <v>1997</v>
      </c>
      <c r="R164" s="3" t="s">
        <v>1064</v>
      </c>
      <c r="S164" s="3" t="s">
        <v>1117</v>
      </c>
      <c r="T164" s="3" t="s">
        <v>1990</v>
      </c>
    </row>
    <row r="165" spans="2:20">
      <c r="C165" s="3" t="s">
        <v>929</v>
      </c>
      <c r="D165" s="3" t="s">
        <v>1015</v>
      </c>
      <c r="E165" s="3" t="s">
        <v>1078</v>
      </c>
      <c r="F165" s="3" t="s">
        <v>1299</v>
      </c>
      <c r="G165" s="6"/>
      <c r="H165" s="3" t="s">
        <v>912</v>
      </c>
      <c r="I165" s="3" t="s">
        <v>968</v>
      </c>
      <c r="J165" s="3" t="s">
        <v>1475</v>
      </c>
      <c r="K165" s="3" t="s">
        <v>917</v>
      </c>
      <c r="L165" s="3" t="s">
        <v>1724</v>
      </c>
      <c r="M165" s="3" t="s">
        <v>1712</v>
      </c>
      <c r="N165" s="3" t="s">
        <v>1020</v>
      </c>
      <c r="O165" s="3" t="s">
        <v>943</v>
      </c>
      <c r="P165" s="6"/>
      <c r="Q165" s="3" t="s">
        <v>1989</v>
      </c>
      <c r="R165" s="3" t="s">
        <v>915</v>
      </c>
      <c r="S165" s="3" t="s">
        <v>2187</v>
      </c>
      <c r="T165" s="3" t="s">
        <v>2274</v>
      </c>
    </row>
    <row r="166" spans="2:20">
      <c r="B166" t="str">
        <f>_xlfn.CONCAT(C166:C184)</f>
        <v xml:space="preserve">    &lt;span class="caption text-muted" style="font-size: medium; font-weight: bold"&gt;To go places and do things that I've never done before                            – that’s what living is all about.&lt;/span&gt;    &lt;iframe src="https://www.google.com/maps/d/embed?mid=z16rO1nf9OsU.k-PI-urLMEWE" width="800" height="640"&gt;    &lt;/iframe&gt;    &lt;a href="https://www.google.com/maps/d/edit?mid=z16rO1nf9OsU.k-PI-urLMEWE&amp;usp=sharing"&gt;     See full screen map    &lt;/a&gt;    &lt;p&gt;Text by &lt;a href="http://www.havingadventures.com/"&gt;Jim O'Brien&lt;/a&gt;.     Photographs by Jim O'Brien, see additional photos of the &lt;a href="https://flic.kr/s/aHsk9CwBC1"&gt;Tour Divide on      Flickr&lt;/a&gt;.    &lt;/p&gt;   &lt;/div&gt;&lt;!-- /.col-sm-12 blog-main --&gt;  &lt;/div&gt;&lt;!-- /.blog-post --&gt; &lt;/div&gt;&lt;!-- /.row --&gt; &lt;/div&gt;&lt;!-- /.container --&gt;&lt;/article&gt;</v>
      </c>
      <c r="C166" s="3" t="s">
        <v>964</v>
      </c>
      <c r="D166" s="3" t="s">
        <v>1014</v>
      </c>
      <c r="E166" s="6"/>
      <c r="F166" s="3" t="s">
        <v>1300</v>
      </c>
      <c r="G166" s="3" t="s">
        <v>1211</v>
      </c>
      <c r="H166" s="3" t="s">
        <v>1386</v>
      </c>
      <c r="I166" s="3" t="s">
        <v>969</v>
      </c>
      <c r="J166" s="3" t="s">
        <v>1009</v>
      </c>
      <c r="K166" s="6"/>
      <c r="L166" s="2" t="s">
        <v>1725</v>
      </c>
      <c r="M166" s="2" t="s">
        <v>974</v>
      </c>
      <c r="N166" s="3" t="s">
        <v>1489</v>
      </c>
      <c r="O166" s="6"/>
      <c r="P166" s="3" t="s">
        <v>912</v>
      </c>
      <c r="Q166" s="3" t="s">
        <v>1990</v>
      </c>
      <c r="R166" s="3" t="s">
        <v>1014</v>
      </c>
      <c r="S166" s="3" t="s">
        <v>2188</v>
      </c>
      <c r="T166" s="4" t="s">
        <v>1992</v>
      </c>
    </row>
    <row r="167" spans="2:20">
      <c r="B167" t="str">
        <f>_xlfn.CONCAT(C167:C185)</f>
        <v xml:space="preserve">                            – that’s what living is all about.&lt;/span&gt;    &lt;iframe src="https://www.google.com/maps/d/embed?mid=z16rO1nf9OsU.k-PI-urLMEWE" width="800" height="640"&gt;    &lt;/iframe&gt;    &lt;a href="https://www.google.com/maps/d/edit?mid=z16rO1nf9OsU.k-PI-urLMEWE&amp;usp=sharing"&gt;     See full screen map    &lt;/a&gt;    &lt;p&gt;Text by &lt;a href="http://www.havingadventures.com/"&gt;Jim O'Brien&lt;/a&gt;.     Photographs by Jim O'Brien, see additional photos of the &lt;a href="https://flic.kr/s/aHsk9CwBC1"&gt;Tour Divide on      Flickr&lt;/a&gt;.    &lt;/p&gt;   &lt;/div&gt;&lt;!-- /.col-sm-12 blog-main --&gt;  &lt;/div&gt;&lt;!-- /.blog-post --&gt; &lt;/div&gt;&lt;!-- /.row --&gt; &lt;/div&gt;&lt;!-- /.container --&gt;&lt;/article&gt;</v>
      </c>
      <c r="C167" s="3" t="s">
        <v>965</v>
      </c>
      <c r="D167" s="3" t="s">
        <v>1016</v>
      </c>
      <c r="E167" s="3" t="s">
        <v>1160</v>
      </c>
      <c r="F167" s="5" t="s">
        <v>1301</v>
      </c>
      <c r="G167" s="3" t="s">
        <v>1117</v>
      </c>
      <c r="H167" s="3" t="s">
        <v>1387</v>
      </c>
      <c r="I167" s="3" t="s">
        <v>929</v>
      </c>
      <c r="J167" s="3" t="s">
        <v>1010</v>
      </c>
      <c r="K167" s="3" t="s">
        <v>1665</v>
      </c>
      <c r="L167" s="3" t="s">
        <v>1009</v>
      </c>
      <c r="M167" s="2" t="s">
        <v>975</v>
      </c>
      <c r="N167" s="3" t="s">
        <v>1023</v>
      </c>
      <c r="O167" s="6"/>
      <c r="P167" s="3" t="s">
        <v>1904</v>
      </c>
      <c r="Q167" s="3" t="s">
        <v>1998</v>
      </c>
      <c r="R167" s="3" t="s">
        <v>1072</v>
      </c>
      <c r="S167" s="3" t="s">
        <v>1163</v>
      </c>
      <c r="T167" s="3" t="s">
        <v>1986</v>
      </c>
    </row>
    <row r="168" spans="2:20">
      <c r="C168" s="3" t="s">
        <v>966</v>
      </c>
      <c r="D168" s="3" t="s">
        <v>1050</v>
      </c>
      <c r="E168" s="3" t="s">
        <v>916</v>
      </c>
      <c r="F168" s="3" t="s">
        <v>1302</v>
      </c>
      <c r="G168" s="3" t="s">
        <v>1212</v>
      </c>
      <c r="H168" s="3" t="s">
        <v>1388</v>
      </c>
      <c r="I168" s="3" t="s">
        <v>1453</v>
      </c>
      <c r="J168" s="3" t="s">
        <v>1042</v>
      </c>
      <c r="K168" s="3" t="s">
        <v>941</v>
      </c>
      <c r="L168" s="3" t="s">
        <v>1742</v>
      </c>
      <c r="M168" s="2" t="s">
        <v>904</v>
      </c>
      <c r="N168" s="3" t="s">
        <v>912</v>
      </c>
      <c r="O168" s="3" t="s">
        <v>941</v>
      </c>
      <c r="P168" s="3" t="s">
        <v>916</v>
      </c>
      <c r="Q168" s="4" t="s">
        <v>1992</v>
      </c>
      <c r="R168" s="3" t="s">
        <v>1073</v>
      </c>
      <c r="S168" s="3" t="s">
        <v>1016</v>
      </c>
      <c r="T168" s="3" t="s">
        <v>2270</v>
      </c>
    </row>
    <row r="169" spans="2:20">
      <c r="C169" s="3" t="s">
        <v>967</v>
      </c>
      <c r="D169" s="3" t="s">
        <v>1051</v>
      </c>
      <c r="E169" s="3" t="s">
        <v>941</v>
      </c>
      <c r="F169" s="3" t="s">
        <v>1078</v>
      </c>
      <c r="G169" s="3" t="s">
        <v>1016</v>
      </c>
      <c r="H169" s="3" t="s">
        <v>916</v>
      </c>
      <c r="I169" s="3" t="s">
        <v>1454</v>
      </c>
      <c r="J169" s="3" t="s">
        <v>1580</v>
      </c>
      <c r="K169" s="3" t="s">
        <v>1666</v>
      </c>
      <c r="L169" s="3" t="s">
        <v>1011</v>
      </c>
      <c r="M169" s="3" t="s">
        <v>976</v>
      </c>
      <c r="N169" s="3" t="s">
        <v>1490</v>
      </c>
      <c r="O169" s="3" t="s">
        <v>1828</v>
      </c>
      <c r="P169" s="3" t="s">
        <v>941</v>
      </c>
      <c r="Q169" s="3" t="s">
        <v>1986</v>
      </c>
      <c r="R169" s="3" t="s">
        <v>1074</v>
      </c>
      <c r="S169" s="3" t="s">
        <v>1117</v>
      </c>
      <c r="T169" s="3" t="s">
        <v>2275</v>
      </c>
    </row>
    <row r="170" spans="2:20">
      <c r="C170" s="3" t="s">
        <v>968</v>
      </c>
      <c r="D170" s="3" t="s">
        <v>1052</v>
      </c>
      <c r="E170" s="3" t="s">
        <v>1161</v>
      </c>
      <c r="F170" s="3" t="s">
        <v>916</v>
      </c>
      <c r="G170" s="3" t="s">
        <v>912</v>
      </c>
      <c r="H170" s="3" t="s">
        <v>941</v>
      </c>
      <c r="I170" s="3" t="s">
        <v>925</v>
      </c>
      <c r="J170" s="3" t="s">
        <v>1581</v>
      </c>
      <c r="K170" s="3" t="s">
        <v>943</v>
      </c>
      <c r="L170" s="3" t="s">
        <v>1743</v>
      </c>
      <c r="M170" s="3" t="s">
        <v>1109</v>
      </c>
      <c r="N170" s="3" t="s">
        <v>1491</v>
      </c>
      <c r="O170" s="3" t="s">
        <v>943</v>
      </c>
      <c r="P170" s="3" t="s">
        <v>1905</v>
      </c>
      <c r="Q170" s="3" t="s">
        <v>1999</v>
      </c>
      <c r="R170" s="3" t="s">
        <v>1075</v>
      </c>
      <c r="S170" s="3" t="s">
        <v>2189</v>
      </c>
      <c r="T170" s="3" t="s">
        <v>1989</v>
      </c>
    </row>
    <row r="171" spans="2:20">
      <c r="C171" s="3" t="s">
        <v>969</v>
      </c>
      <c r="D171" s="3" t="s">
        <v>1053</v>
      </c>
      <c r="E171" s="3" t="s">
        <v>1162</v>
      </c>
      <c r="F171" s="6"/>
      <c r="G171" s="3" t="s">
        <v>1213</v>
      </c>
      <c r="H171" s="3" t="s">
        <v>1389</v>
      </c>
      <c r="I171" s="3" t="s">
        <v>1166</v>
      </c>
      <c r="J171" s="3" t="s">
        <v>1582</v>
      </c>
      <c r="K171" s="3" t="s">
        <v>925</v>
      </c>
      <c r="L171" s="3" t="s">
        <v>1744</v>
      </c>
      <c r="M171" s="3" t="s">
        <v>1539</v>
      </c>
      <c r="N171" s="3" t="s">
        <v>1492</v>
      </c>
      <c r="O171" s="3" t="s">
        <v>1829</v>
      </c>
      <c r="P171" s="3" t="s">
        <v>943</v>
      </c>
      <c r="Q171" s="3" t="s">
        <v>2000</v>
      </c>
      <c r="R171" s="3" t="s">
        <v>1076</v>
      </c>
      <c r="S171" s="3" t="s">
        <v>2190</v>
      </c>
      <c r="T171" s="3" t="s">
        <v>1990</v>
      </c>
    </row>
    <row r="172" spans="2:20">
      <c r="C172" s="3" t="s">
        <v>929</v>
      </c>
      <c r="D172" s="3" t="s">
        <v>1054</v>
      </c>
      <c r="E172" s="3" t="s">
        <v>1163</v>
      </c>
      <c r="F172" s="3" t="s">
        <v>1009</v>
      </c>
      <c r="G172" s="3" t="s">
        <v>1214</v>
      </c>
      <c r="H172" s="3" t="s">
        <v>943</v>
      </c>
      <c r="I172" s="2" t="s">
        <v>1455</v>
      </c>
      <c r="J172" s="3" t="s">
        <v>1015</v>
      </c>
      <c r="K172" s="3" t="s">
        <v>921</v>
      </c>
      <c r="L172" s="3" t="s">
        <v>1664</v>
      </c>
      <c r="M172" s="3" t="s">
        <v>978</v>
      </c>
      <c r="N172" s="3" t="s">
        <v>916</v>
      </c>
      <c r="O172" s="3" t="s">
        <v>912</v>
      </c>
      <c r="P172" s="6"/>
      <c r="Q172" s="3" t="s">
        <v>1989</v>
      </c>
      <c r="R172" s="3" t="s">
        <v>1077</v>
      </c>
      <c r="S172" s="3" t="s">
        <v>1163</v>
      </c>
      <c r="T172" s="3" t="s">
        <v>1064</v>
      </c>
    </row>
    <row r="173" spans="2:20">
      <c r="C173" s="3" t="s">
        <v>970</v>
      </c>
      <c r="D173" s="3" t="s">
        <v>1055</v>
      </c>
      <c r="E173" s="3" t="s">
        <v>943</v>
      </c>
      <c r="F173" s="3" t="s">
        <v>1010</v>
      </c>
      <c r="G173" s="3" t="s">
        <v>1215</v>
      </c>
      <c r="H173" s="6"/>
      <c r="I173" s="6"/>
      <c r="J173" s="3" t="s">
        <v>1014</v>
      </c>
      <c r="K173" s="3" t="s">
        <v>1667</v>
      </c>
      <c r="L173" s="3" t="s">
        <v>1013</v>
      </c>
      <c r="M173" s="3" t="s">
        <v>979</v>
      </c>
      <c r="N173" s="3" t="s">
        <v>1493</v>
      </c>
      <c r="O173" s="3" t="s">
        <v>1830</v>
      </c>
      <c r="P173" s="3" t="s">
        <v>912</v>
      </c>
      <c r="Q173" s="3" t="s">
        <v>1990</v>
      </c>
      <c r="R173" s="3" t="s">
        <v>1078</v>
      </c>
      <c r="S173" s="3" t="s">
        <v>1016</v>
      </c>
      <c r="T173" s="3" t="s">
        <v>2001</v>
      </c>
    </row>
    <row r="174" spans="2:20">
      <c r="C174" s="3" t="s">
        <v>971</v>
      </c>
      <c r="D174" s="3" t="s">
        <v>1056</v>
      </c>
      <c r="E174" s="3" t="s">
        <v>944</v>
      </c>
      <c r="F174" s="3" t="s">
        <v>1281</v>
      </c>
      <c r="G174" s="3" t="s">
        <v>1216</v>
      </c>
      <c r="H174" s="3" t="s">
        <v>1390</v>
      </c>
      <c r="I174" s="2" t="s">
        <v>975</v>
      </c>
      <c r="J174" s="3" t="s">
        <v>1010</v>
      </c>
      <c r="K174" s="3" t="s">
        <v>941</v>
      </c>
      <c r="L174" s="6"/>
      <c r="M174" s="3" t="s">
        <v>1167</v>
      </c>
      <c r="N174" s="3" t="s">
        <v>1020</v>
      </c>
      <c r="O174" s="3" t="s">
        <v>1831</v>
      </c>
      <c r="P174" s="6"/>
      <c r="Q174" s="3" t="s">
        <v>1064</v>
      </c>
      <c r="R174" s="3" t="s">
        <v>1016</v>
      </c>
      <c r="S174" s="6"/>
      <c r="T174" s="3" t="s">
        <v>2002</v>
      </c>
    </row>
    <row r="175" spans="2:20">
      <c r="C175" s="3" t="s">
        <v>972</v>
      </c>
      <c r="D175" s="3" t="s">
        <v>1057</v>
      </c>
      <c r="E175" s="3" t="s">
        <v>1099</v>
      </c>
      <c r="F175" s="3" t="s">
        <v>1303</v>
      </c>
      <c r="G175" s="3" t="s">
        <v>916</v>
      </c>
      <c r="H175" s="3" t="s">
        <v>1391</v>
      </c>
      <c r="I175" s="2" t="s">
        <v>904</v>
      </c>
      <c r="J175" s="3" t="s">
        <v>1011</v>
      </c>
      <c r="K175" s="3" t="s">
        <v>1668</v>
      </c>
      <c r="L175" s="3" t="s">
        <v>1014</v>
      </c>
      <c r="M175" s="3" t="s">
        <v>981</v>
      </c>
      <c r="N175" s="3" t="s">
        <v>1494</v>
      </c>
      <c r="O175" s="3" t="s">
        <v>1832</v>
      </c>
      <c r="P175" s="3" t="s">
        <v>916</v>
      </c>
      <c r="Q175" s="3" t="s">
        <v>2001</v>
      </c>
      <c r="R175" s="3" t="s">
        <v>912</v>
      </c>
      <c r="S175" s="3" t="s">
        <v>912</v>
      </c>
      <c r="T175" s="3" t="s">
        <v>2003</v>
      </c>
    </row>
    <row r="176" spans="2:20">
      <c r="C176" s="3" t="s">
        <v>925</v>
      </c>
      <c r="D176" s="3" t="s">
        <v>1058</v>
      </c>
      <c r="E176" s="3" t="s">
        <v>1164</v>
      </c>
      <c r="F176" s="4" t="s">
        <v>1304</v>
      </c>
      <c r="G176" s="3" t="s">
        <v>1117</v>
      </c>
      <c r="H176" s="3" t="s">
        <v>1392</v>
      </c>
      <c r="I176" s="3" t="s">
        <v>976</v>
      </c>
      <c r="J176" s="3" t="s">
        <v>1583</v>
      </c>
      <c r="K176" s="3" t="s">
        <v>943</v>
      </c>
      <c r="L176" s="3" t="s">
        <v>1745</v>
      </c>
      <c r="M176" s="3" t="s">
        <v>982</v>
      </c>
      <c r="N176" s="3" t="s">
        <v>1023</v>
      </c>
      <c r="O176" s="3" t="s">
        <v>1833</v>
      </c>
      <c r="P176" s="3" t="s">
        <v>941</v>
      </c>
      <c r="Q176" s="3" t="s">
        <v>2002</v>
      </c>
      <c r="R176" s="3" t="s">
        <v>2068</v>
      </c>
      <c r="S176" s="3" t="s">
        <v>2191</v>
      </c>
      <c r="T176" s="3" t="s">
        <v>2004</v>
      </c>
    </row>
    <row r="177" spans="3:20">
      <c r="C177" s="3" t="s">
        <v>973</v>
      </c>
      <c r="D177" s="3" t="s">
        <v>1059</v>
      </c>
      <c r="E177" s="3" t="s">
        <v>1165</v>
      </c>
      <c r="F177" s="3" t="s">
        <v>1284</v>
      </c>
      <c r="G177" s="3" t="s">
        <v>1217</v>
      </c>
      <c r="H177" s="3" t="s">
        <v>1393</v>
      </c>
      <c r="I177" s="3" t="s">
        <v>1109</v>
      </c>
      <c r="J177" s="3" t="s">
        <v>1013</v>
      </c>
      <c r="K177" s="6"/>
      <c r="L177" s="3" t="s">
        <v>1042</v>
      </c>
      <c r="M177" s="3" t="s">
        <v>1111</v>
      </c>
      <c r="N177" s="6"/>
      <c r="O177" s="3" t="s">
        <v>1834</v>
      </c>
      <c r="P177" s="3" t="s">
        <v>1906</v>
      </c>
      <c r="Q177" s="3" t="s">
        <v>2003</v>
      </c>
      <c r="R177" s="3" t="s">
        <v>916</v>
      </c>
      <c r="S177" s="3" t="s">
        <v>2192</v>
      </c>
      <c r="T177" s="3" t="s">
        <v>2005</v>
      </c>
    </row>
    <row r="178" spans="3:20">
      <c r="C178" s="2" t="s">
        <v>974</v>
      </c>
      <c r="D178" s="4" t="s">
        <v>1060</v>
      </c>
      <c r="E178" s="3" t="s">
        <v>1100</v>
      </c>
      <c r="F178" s="3" t="s">
        <v>1014</v>
      </c>
      <c r="G178" s="3" t="s">
        <v>1016</v>
      </c>
      <c r="H178" s="3" t="s">
        <v>1394</v>
      </c>
      <c r="I178" s="3" t="s">
        <v>1255</v>
      </c>
      <c r="J178" s="3" t="s">
        <v>1584</v>
      </c>
      <c r="K178" s="3" t="s">
        <v>1669</v>
      </c>
      <c r="L178" s="3" t="s">
        <v>1746</v>
      </c>
      <c r="M178" s="3" t="s">
        <v>981</v>
      </c>
      <c r="N178" s="3" t="s">
        <v>912</v>
      </c>
      <c r="O178" s="3" t="s">
        <v>916</v>
      </c>
      <c r="P178" s="3" t="s">
        <v>943</v>
      </c>
      <c r="Q178" s="3" t="s">
        <v>2004</v>
      </c>
      <c r="R178" s="3" t="s">
        <v>941</v>
      </c>
      <c r="S178" s="3" t="s">
        <v>2193</v>
      </c>
      <c r="T178" s="3" t="s">
        <v>2006</v>
      </c>
    </row>
    <row r="179" spans="3:20">
      <c r="C179" s="2" t="s">
        <v>975</v>
      </c>
      <c r="D179" s="3" t="s">
        <v>1061</v>
      </c>
      <c r="E179" s="6"/>
      <c r="F179" s="3" t="s">
        <v>1010</v>
      </c>
      <c r="G179" s="3" t="s">
        <v>912</v>
      </c>
      <c r="H179" s="3" t="s">
        <v>916</v>
      </c>
      <c r="I179" s="3" t="s">
        <v>978</v>
      </c>
      <c r="J179" s="3" t="s">
        <v>1014</v>
      </c>
      <c r="K179" s="3" t="s">
        <v>1670</v>
      </c>
      <c r="L179" s="3" t="s">
        <v>1747</v>
      </c>
      <c r="M179" s="3" t="s">
        <v>982</v>
      </c>
      <c r="N179" s="3" t="s">
        <v>1495</v>
      </c>
      <c r="O179" s="3" t="s">
        <v>1009</v>
      </c>
      <c r="P179" s="6"/>
      <c r="Q179" s="3" t="s">
        <v>2005</v>
      </c>
      <c r="R179" s="3" t="s">
        <v>2069</v>
      </c>
      <c r="S179" s="3" t="s">
        <v>916</v>
      </c>
      <c r="T179" s="3" t="s">
        <v>914</v>
      </c>
    </row>
    <row r="180" spans="3:20">
      <c r="C180" s="2" t="s">
        <v>904</v>
      </c>
      <c r="D180" s="3" t="s">
        <v>1062</v>
      </c>
      <c r="E180" s="3" t="s">
        <v>1101</v>
      </c>
      <c r="F180" s="3" t="s">
        <v>1305</v>
      </c>
      <c r="G180" s="3" t="s">
        <v>1218</v>
      </c>
      <c r="H180" s="3" t="s">
        <v>941</v>
      </c>
      <c r="I180" s="3" t="s">
        <v>979</v>
      </c>
      <c r="J180" s="3" t="s">
        <v>1016</v>
      </c>
      <c r="K180" s="3" t="s">
        <v>1671</v>
      </c>
      <c r="L180" s="3" t="s">
        <v>1748</v>
      </c>
      <c r="M180" s="3" t="s">
        <v>1799</v>
      </c>
      <c r="N180" s="3" t="s">
        <v>1496</v>
      </c>
      <c r="O180" s="3" t="s">
        <v>1010</v>
      </c>
      <c r="P180" s="3" t="s">
        <v>912</v>
      </c>
      <c r="Q180" s="3" t="s">
        <v>2006</v>
      </c>
      <c r="R180" s="3" t="s">
        <v>943</v>
      </c>
      <c r="S180" s="3" t="s">
        <v>1009</v>
      </c>
      <c r="T180" s="3" t="s">
        <v>915</v>
      </c>
    </row>
    <row r="181" spans="3:20">
      <c r="C181" s="3" t="s">
        <v>976</v>
      </c>
      <c r="D181" s="3" t="s">
        <v>1063</v>
      </c>
      <c r="E181" s="3" t="s">
        <v>1102</v>
      </c>
      <c r="F181" s="3" t="s">
        <v>1015</v>
      </c>
      <c r="G181" s="3" t="s">
        <v>1219</v>
      </c>
      <c r="H181" s="3" t="s">
        <v>1395</v>
      </c>
      <c r="I181" s="3" t="s">
        <v>1167</v>
      </c>
      <c r="J181" s="3" t="s">
        <v>912</v>
      </c>
      <c r="K181" s="3" t="s">
        <v>1672</v>
      </c>
      <c r="L181" s="3" t="s">
        <v>1749</v>
      </c>
      <c r="M181" s="3" t="s">
        <v>981</v>
      </c>
      <c r="N181" s="3" t="s">
        <v>1497</v>
      </c>
      <c r="O181" s="3" t="s">
        <v>1835</v>
      </c>
      <c r="P181" s="3" t="s">
        <v>1907</v>
      </c>
      <c r="Q181" s="3" t="s">
        <v>914</v>
      </c>
      <c r="R181" s="6"/>
      <c r="S181" s="3" t="s">
        <v>1010</v>
      </c>
      <c r="T181" s="3" t="s">
        <v>2007</v>
      </c>
    </row>
    <row r="182" spans="3:20">
      <c r="C182" s="6"/>
      <c r="D182" s="3" t="s">
        <v>1064</v>
      </c>
      <c r="E182" s="3" t="s">
        <v>1103</v>
      </c>
      <c r="F182" s="3" t="s">
        <v>1014</v>
      </c>
      <c r="G182" s="3" t="s">
        <v>916</v>
      </c>
      <c r="H182" s="3" t="s">
        <v>1396</v>
      </c>
      <c r="I182" s="3" t="s">
        <v>981</v>
      </c>
      <c r="J182" s="3" t="s">
        <v>1585</v>
      </c>
      <c r="K182" s="3" t="s">
        <v>1673</v>
      </c>
      <c r="L182" s="3" t="s">
        <v>1750</v>
      </c>
      <c r="M182" s="3" t="s">
        <v>982</v>
      </c>
      <c r="N182" s="3" t="s">
        <v>1498</v>
      </c>
      <c r="O182" s="3" t="s">
        <v>1836</v>
      </c>
      <c r="P182" s="3" t="s">
        <v>916</v>
      </c>
      <c r="Q182" s="3" t="s">
        <v>915</v>
      </c>
      <c r="R182" s="3" t="s">
        <v>912</v>
      </c>
      <c r="S182" s="3" t="s">
        <v>1011</v>
      </c>
      <c r="T182" s="2" t="s">
        <v>2008</v>
      </c>
    </row>
    <row r="183" spans="3:20">
      <c r="D183" s="3" t="s">
        <v>915</v>
      </c>
      <c r="E183" s="3" t="s">
        <v>943</v>
      </c>
      <c r="F183" s="3" t="s">
        <v>1016</v>
      </c>
      <c r="G183" s="3" t="s">
        <v>1117</v>
      </c>
      <c r="H183" s="3" t="s">
        <v>943</v>
      </c>
      <c r="I183" s="3" t="s">
        <v>982</v>
      </c>
      <c r="J183" s="3" t="s">
        <v>1586</v>
      </c>
      <c r="K183" s="3" t="s">
        <v>925</v>
      </c>
      <c r="L183" s="3" t="s">
        <v>1751</v>
      </c>
      <c r="M183" s="3" t="s">
        <v>1800</v>
      </c>
      <c r="N183" s="3" t="s">
        <v>916</v>
      </c>
      <c r="O183" s="3" t="s">
        <v>1837</v>
      </c>
      <c r="P183" s="3" t="s">
        <v>941</v>
      </c>
      <c r="Q183" s="3" t="s">
        <v>2007</v>
      </c>
      <c r="R183" s="3" t="s">
        <v>2070</v>
      </c>
      <c r="S183" s="3" t="s">
        <v>2194</v>
      </c>
      <c r="T183" s="6"/>
    </row>
    <row r="184" spans="3:20">
      <c r="D184" s="3" t="s">
        <v>1065</v>
      </c>
      <c r="E184" s="3" t="s">
        <v>1104</v>
      </c>
      <c r="F184" s="3" t="s">
        <v>1306</v>
      </c>
      <c r="G184" s="3" t="s">
        <v>1220</v>
      </c>
      <c r="H184" s="3" t="s">
        <v>912</v>
      </c>
      <c r="I184" s="3" t="s">
        <v>1111</v>
      </c>
      <c r="J184" s="3" t="s">
        <v>1587</v>
      </c>
      <c r="K184" s="3" t="s">
        <v>927</v>
      </c>
      <c r="L184" s="3" t="s">
        <v>1015</v>
      </c>
      <c r="M184" s="3" t="s">
        <v>981</v>
      </c>
      <c r="N184" s="3" t="s">
        <v>1020</v>
      </c>
      <c r="O184" s="3" t="s">
        <v>1838</v>
      </c>
      <c r="P184" s="3" t="s">
        <v>1908</v>
      </c>
      <c r="Q184" s="2" t="s">
        <v>2008</v>
      </c>
      <c r="R184" s="3" t="s">
        <v>2071</v>
      </c>
      <c r="S184" s="3" t="s">
        <v>2195</v>
      </c>
      <c r="T184" s="2" t="s">
        <v>2009</v>
      </c>
    </row>
    <row r="185" spans="3:20">
      <c r="D185" s="4" t="s">
        <v>1066</v>
      </c>
      <c r="E185" s="3" t="s">
        <v>1105</v>
      </c>
      <c r="F185" s="3" t="s">
        <v>1307</v>
      </c>
      <c r="G185" s="3" t="s">
        <v>1016</v>
      </c>
      <c r="H185" s="3" t="s">
        <v>1397</v>
      </c>
      <c r="I185" s="3" t="s">
        <v>981</v>
      </c>
      <c r="J185" s="3" t="s">
        <v>1020</v>
      </c>
      <c r="K185" s="3" t="s">
        <v>1674</v>
      </c>
      <c r="L185" s="3" t="s">
        <v>1014</v>
      </c>
      <c r="M185" s="3" t="s">
        <v>982</v>
      </c>
      <c r="N185" s="3" t="s">
        <v>1499</v>
      </c>
      <c r="O185" s="3" t="s">
        <v>1839</v>
      </c>
      <c r="P185" s="3" t="s">
        <v>943</v>
      </c>
      <c r="Q185" s="2" t="s">
        <v>2009</v>
      </c>
      <c r="R185" s="6"/>
      <c r="S185" s="3" t="s">
        <v>1664</v>
      </c>
      <c r="T185" s="3" t="s">
        <v>2276</v>
      </c>
    </row>
    <row r="186" spans="3:20">
      <c r="D186" s="3" t="s">
        <v>1061</v>
      </c>
      <c r="E186" s="3" t="s">
        <v>1106</v>
      </c>
      <c r="F186" s="3" t="s">
        <v>916</v>
      </c>
      <c r="G186" s="3" t="s">
        <v>912</v>
      </c>
      <c r="H186" s="3" t="s">
        <v>1398</v>
      </c>
      <c r="I186" s="3" t="s">
        <v>982</v>
      </c>
      <c r="J186" s="3" t="s">
        <v>1588</v>
      </c>
      <c r="K186" s="3" t="s">
        <v>929</v>
      </c>
      <c r="L186" s="3" t="s">
        <v>1016</v>
      </c>
      <c r="M186" s="3" t="s">
        <v>984</v>
      </c>
      <c r="N186" s="3" t="s">
        <v>1023</v>
      </c>
      <c r="O186" s="3" t="s">
        <v>1015</v>
      </c>
      <c r="P186" s="6"/>
      <c r="Q186" s="3" t="s">
        <v>2010</v>
      </c>
      <c r="R186" s="3" t="s">
        <v>916</v>
      </c>
      <c r="S186" s="3" t="s">
        <v>1013</v>
      </c>
      <c r="T186" s="3" t="s">
        <v>2277</v>
      </c>
    </row>
    <row r="187" spans="3:20">
      <c r="D187" s="3" t="s">
        <v>1062</v>
      </c>
      <c r="E187" s="3" t="s">
        <v>916</v>
      </c>
      <c r="F187" s="3" t="s">
        <v>1009</v>
      </c>
      <c r="G187" s="3" t="s">
        <v>1221</v>
      </c>
      <c r="H187" s="3" t="s">
        <v>1399</v>
      </c>
      <c r="I187" s="3" t="s">
        <v>1456</v>
      </c>
      <c r="J187" s="3" t="s">
        <v>1023</v>
      </c>
      <c r="K187" s="3" t="s">
        <v>1675</v>
      </c>
      <c r="L187" s="3" t="s">
        <v>1752</v>
      </c>
      <c r="M187" s="3" t="s">
        <v>981</v>
      </c>
      <c r="N187" s="3" t="s">
        <v>1500</v>
      </c>
      <c r="O187" s="3" t="s">
        <v>1014</v>
      </c>
      <c r="P187" s="3" t="s">
        <v>912</v>
      </c>
      <c r="Q187" s="3" t="s">
        <v>2011</v>
      </c>
      <c r="R187" s="3" t="s">
        <v>2072</v>
      </c>
      <c r="S187" s="6"/>
      <c r="T187" s="3" t="s">
        <v>916</v>
      </c>
    </row>
    <row r="188" spans="3:20">
      <c r="D188" s="3" t="s">
        <v>1067</v>
      </c>
      <c r="E188" s="3" t="s">
        <v>917</v>
      </c>
      <c r="F188" s="3" t="s">
        <v>1010</v>
      </c>
      <c r="G188" s="3" t="s">
        <v>1222</v>
      </c>
      <c r="H188" s="3" t="s">
        <v>1400</v>
      </c>
      <c r="I188" s="3" t="s">
        <v>981</v>
      </c>
      <c r="J188" s="3" t="s">
        <v>912</v>
      </c>
      <c r="K188" s="3" t="s">
        <v>1676</v>
      </c>
      <c r="L188" s="6"/>
      <c r="M188" s="3" t="s">
        <v>982</v>
      </c>
      <c r="N188" s="3" t="s">
        <v>916</v>
      </c>
      <c r="O188" s="3" t="s">
        <v>1010</v>
      </c>
      <c r="P188" s="3" t="s">
        <v>1909</v>
      </c>
      <c r="Q188" s="3" t="s">
        <v>916</v>
      </c>
      <c r="R188" s="3" t="s">
        <v>1052</v>
      </c>
      <c r="S188" s="3" t="s">
        <v>1014</v>
      </c>
      <c r="T188" s="6"/>
    </row>
    <row r="189" spans="3:20">
      <c r="D189" s="3" t="s">
        <v>1064</v>
      </c>
      <c r="E189" s="3" t="s">
        <v>1166</v>
      </c>
      <c r="F189" s="3" t="s">
        <v>1281</v>
      </c>
      <c r="G189" s="3" t="s">
        <v>1223</v>
      </c>
      <c r="H189" s="3" t="s">
        <v>1401</v>
      </c>
      <c r="I189" s="3" t="s">
        <v>982</v>
      </c>
      <c r="J189" s="3" t="s">
        <v>1589</v>
      </c>
      <c r="K189" s="3" t="s">
        <v>925</v>
      </c>
      <c r="L189" s="3" t="s">
        <v>1020</v>
      </c>
      <c r="M189" s="3" t="s">
        <v>1801</v>
      </c>
      <c r="N189" s="3" t="s">
        <v>1020</v>
      </c>
      <c r="O189" s="3" t="s">
        <v>1840</v>
      </c>
      <c r="P189" s="3" t="s">
        <v>916</v>
      </c>
      <c r="Q189" s="3" t="s">
        <v>941</v>
      </c>
      <c r="R189" s="3" t="s">
        <v>2073</v>
      </c>
      <c r="S189" s="3" t="s">
        <v>1010</v>
      </c>
      <c r="T189" s="3" t="s">
        <v>2278</v>
      </c>
    </row>
    <row r="190" spans="3:20">
      <c r="D190" s="3" t="s">
        <v>915</v>
      </c>
      <c r="E190" s="2" t="s">
        <v>903</v>
      </c>
      <c r="F190" s="3" t="s">
        <v>1308</v>
      </c>
      <c r="G190" s="3" t="s">
        <v>1224</v>
      </c>
      <c r="H190" s="3" t="s">
        <v>1402</v>
      </c>
      <c r="I190" s="3" t="s">
        <v>1457</v>
      </c>
      <c r="J190" s="3" t="s">
        <v>916</v>
      </c>
      <c r="K190" s="3" t="s">
        <v>1659</v>
      </c>
      <c r="L190" s="3" t="s">
        <v>1753</v>
      </c>
      <c r="M190" s="3" t="s">
        <v>981</v>
      </c>
      <c r="N190" s="3" t="s">
        <v>1501</v>
      </c>
      <c r="O190" s="3" t="s">
        <v>1841</v>
      </c>
      <c r="P190" s="3" t="s">
        <v>941</v>
      </c>
      <c r="Q190" s="3" t="s">
        <v>2012</v>
      </c>
      <c r="R190" s="3" t="s">
        <v>2074</v>
      </c>
      <c r="S190" s="3" t="s">
        <v>1042</v>
      </c>
      <c r="T190" s="3" t="s">
        <v>912</v>
      </c>
    </row>
    <row r="191" spans="3:20">
      <c r="D191" s="3" t="s">
        <v>1068</v>
      </c>
      <c r="E191" s="2" t="s">
        <v>904</v>
      </c>
      <c r="F191" s="3" t="s">
        <v>1284</v>
      </c>
      <c r="G191" s="3" t="s">
        <v>1225</v>
      </c>
      <c r="H191" s="3" t="s">
        <v>1403</v>
      </c>
      <c r="I191" s="3" t="s">
        <v>981</v>
      </c>
      <c r="J191" s="3" t="s">
        <v>1020</v>
      </c>
      <c r="K191" s="3" t="s">
        <v>941</v>
      </c>
      <c r="L191" s="3" t="s">
        <v>1023</v>
      </c>
      <c r="M191" s="3" t="s">
        <v>1543</v>
      </c>
      <c r="N191" s="3" t="s">
        <v>1023</v>
      </c>
      <c r="O191" s="3" t="s">
        <v>1842</v>
      </c>
      <c r="P191" s="3" t="s">
        <v>1910</v>
      </c>
      <c r="Q191" s="3" t="s">
        <v>943</v>
      </c>
      <c r="R191" s="3" t="s">
        <v>2075</v>
      </c>
      <c r="S191" s="3" t="s">
        <v>2196</v>
      </c>
      <c r="T191" s="6"/>
    </row>
    <row r="192" spans="3:20">
      <c r="D192" s="4" t="s">
        <v>1066</v>
      </c>
      <c r="E192" s="3" t="s">
        <v>976</v>
      </c>
      <c r="F192" s="3" t="s">
        <v>1309</v>
      </c>
      <c r="G192" s="3" t="s">
        <v>1226</v>
      </c>
      <c r="H192" s="3" t="s">
        <v>1404</v>
      </c>
      <c r="I192" s="3" t="s">
        <v>982</v>
      </c>
      <c r="J192" s="3" t="s">
        <v>1590</v>
      </c>
      <c r="K192" s="3" t="s">
        <v>1677</v>
      </c>
      <c r="L192" s="6"/>
      <c r="M192" s="3" t="s">
        <v>981</v>
      </c>
      <c r="N192" s="3" t="s">
        <v>912</v>
      </c>
      <c r="O192" s="3" t="s">
        <v>1843</v>
      </c>
      <c r="P192" s="3" t="s">
        <v>943</v>
      </c>
      <c r="Q192" s="6"/>
      <c r="R192" s="3" t="s">
        <v>1057</v>
      </c>
      <c r="S192" s="3" t="s">
        <v>2197</v>
      </c>
      <c r="T192" s="3" t="s">
        <v>916</v>
      </c>
    </row>
    <row r="193" spans="4:20">
      <c r="D193" s="3" t="s">
        <v>1061</v>
      </c>
      <c r="E193" s="3" t="s">
        <v>1109</v>
      </c>
      <c r="F193" s="3" t="s">
        <v>1014</v>
      </c>
      <c r="G193" s="3" t="s">
        <v>916</v>
      </c>
      <c r="H193" s="3" t="s">
        <v>1405</v>
      </c>
      <c r="I193" s="3" t="s">
        <v>1458</v>
      </c>
      <c r="J193" s="3" t="s">
        <v>1023</v>
      </c>
      <c r="K193" s="3" t="s">
        <v>943</v>
      </c>
      <c r="L193" s="3" t="s">
        <v>912</v>
      </c>
      <c r="M193" s="3" t="s">
        <v>987</v>
      </c>
      <c r="N193" s="3" t="s">
        <v>1502</v>
      </c>
      <c r="O193" s="3" t="s">
        <v>1704</v>
      </c>
      <c r="P193" s="6"/>
      <c r="Q193" s="3" t="s">
        <v>912</v>
      </c>
      <c r="R193" s="3" t="s">
        <v>1058</v>
      </c>
      <c r="S193" s="3" t="s">
        <v>2198</v>
      </c>
      <c r="T193" s="3" t="s">
        <v>1974</v>
      </c>
    </row>
    <row r="194" spans="4:20">
      <c r="D194" s="3" t="s">
        <v>1062</v>
      </c>
      <c r="E194" s="3" t="s">
        <v>1110</v>
      </c>
      <c r="F194" s="3" t="s">
        <v>1010</v>
      </c>
      <c r="G194" s="3" t="s">
        <v>1117</v>
      </c>
      <c r="H194" s="3" t="s">
        <v>1406</v>
      </c>
      <c r="I194" s="3" t="s">
        <v>981</v>
      </c>
      <c r="J194" s="3" t="s">
        <v>912</v>
      </c>
      <c r="K194" s="3" t="s">
        <v>917</v>
      </c>
      <c r="L194" s="3" t="s">
        <v>1754</v>
      </c>
      <c r="M194" s="3" t="s">
        <v>988</v>
      </c>
      <c r="N194" s="3" t="s">
        <v>1503</v>
      </c>
      <c r="O194" s="3" t="s">
        <v>1705</v>
      </c>
      <c r="P194" s="3" t="s">
        <v>912</v>
      </c>
      <c r="Q194" s="3" t="s">
        <v>2013</v>
      </c>
      <c r="R194" s="3" t="s">
        <v>2076</v>
      </c>
      <c r="S194" s="3" t="s">
        <v>2199</v>
      </c>
      <c r="T194" s="3" t="s">
        <v>1975</v>
      </c>
    </row>
    <row r="195" spans="4:20">
      <c r="D195" s="3" t="s">
        <v>1069</v>
      </c>
      <c r="E195" s="3" t="s">
        <v>978</v>
      </c>
      <c r="F195" s="3" t="s">
        <v>1281</v>
      </c>
      <c r="G195" s="3" t="s">
        <v>1227</v>
      </c>
      <c r="H195" s="3" t="s">
        <v>1407</v>
      </c>
      <c r="I195" s="3" t="s">
        <v>982</v>
      </c>
      <c r="J195" s="3" t="s">
        <v>1591</v>
      </c>
      <c r="K195" s="3" t="s">
        <v>1659</v>
      </c>
      <c r="L195" s="3" t="s">
        <v>1755</v>
      </c>
      <c r="M195" s="2" t="s">
        <v>989</v>
      </c>
      <c r="N195" s="3" t="s">
        <v>916</v>
      </c>
      <c r="O195" s="3" t="s">
        <v>1284</v>
      </c>
      <c r="P195" s="3" t="s">
        <v>1911</v>
      </c>
      <c r="Q195" s="3" t="s">
        <v>916</v>
      </c>
      <c r="R195" s="4" t="s">
        <v>1060</v>
      </c>
      <c r="S195" s="3" t="s">
        <v>2200</v>
      </c>
      <c r="T195" s="3" t="s">
        <v>2279</v>
      </c>
    </row>
    <row r="196" spans="4:20">
      <c r="D196" s="3" t="s">
        <v>1064</v>
      </c>
      <c r="E196" s="3" t="s">
        <v>979</v>
      </c>
      <c r="F196" s="3" t="s">
        <v>1310</v>
      </c>
      <c r="G196" s="3" t="s">
        <v>1016</v>
      </c>
      <c r="H196" s="3" t="s">
        <v>1408</v>
      </c>
      <c r="I196" s="3" t="s">
        <v>1459</v>
      </c>
      <c r="J196" s="3" t="s">
        <v>1592</v>
      </c>
      <c r="K196" s="3" t="s">
        <v>941</v>
      </c>
      <c r="L196" s="3" t="s">
        <v>1756</v>
      </c>
      <c r="M196" s="3" t="s">
        <v>990</v>
      </c>
      <c r="N196" s="3" t="s">
        <v>1020</v>
      </c>
      <c r="O196" s="3" t="s">
        <v>1015</v>
      </c>
      <c r="P196" s="3" t="s">
        <v>1912</v>
      </c>
      <c r="Q196" s="3" t="s">
        <v>941</v>
      </c>
      <c r="R196" s="3" t="s">
        <v>1061</v>
      </c>
      <c r="S196" s="3" t="s">
        <v>2201</v>
      </c>
      <c r="T196" s="3" t="s">
        <v>1977</v>
      </c>
    </row>
    <row r="197" spans="4:20">
      <c r="D197" s="3" t="s">
        <v>915</v>
      </c>
      <c r="E197" s="3" t="s">
        <v>1167</v>
      </c>
      <c r="F197" s="3" t="s">
        <v>1284</v>
      </c>
      <c r="G197" s="3" t="s">
        <v>1228</v>
      </c>
      <c r="H197" s="3" t="s">
        <v>1409</v>
      </c>
      <c r="I197" s="3" t="s">
        <v>981</v>
      </c>
      <c r="J197" s="3" t="s">
        <v>916</v>
      </c>
      <c r="K197" s="3" t="s">
        <v>1678</v>
      </c>
      <c r="L197" s="3" t="s">
        <v>1757</v>
      </c>
      <c r="M197" s="2" t="s">
        <v>991</v>
      </c>
      <c r="N197" s="3" t="s">
        <v>1504</v>
      </c>
      <c r="O197" s="3" t="s">
        <v>1014</v>
      </c>
      <c r="P197" s="3" t="s">
        <v>1913</v>
      </c>
      <c r="Q197" s="3" t="s">
        <v>2014</v>
      </c>
      <c r="R197" s="3" t="s">
        <v>2077</v>
      </c>
      <c r="S197" s="3" t="s">
        <v>2202</v>
      </c>
      <c r="T197" s="3" t="s">
        <v>2280</v>
      </c>
    </row>
    <row r="198" spans="4:20">
      <c r="D198" s="3" t="s">
        <v>1070</v>
      </c>
      <c r="E198" s="3" t="s">
        <v>981</v>
      </c>
      <c r="F198" s="3" t="s">
        <v>1014</v>
      </c>
      <c r="G198" s="3" t="s">
        <v>941</v>
      </c>
      <c r="H198" s="3" t="s">
        <v>916</v>
      </c>
      <c r="I198" s="3" t="s">
        <v>986</v>
      </c>
      <c r="J198" s="3" t="s">
        <v>1020</v>
      </c>
      <c r="K198" s="4" t="s">
        <v>1679</v>
      </c>
      <c r="L198" s="3" t="s">
        <v>1758</v>
      </c>
      <c r="M198" s="3" t="s">
        <v>1171</v>
      </c>
      <c r="N198" s="3" t="s">
        <v>1505</v>
      </c>
      <c r="O198" s="3" t="s">
        <v>1016</v>
      </c>
      <c r="P198" s="3" t="s">
        <v>916</v>
      </c>
      <c r="Q198" s="3" t="s">
        <v>943</v>
      </c>
      <c r="R198" s="3" t="s">
        <v>1063</v>
      </c>
      <c r="S198" s="3" t="s">
        <v>2203</v>
      </c>
      <c r="T198" s="3" t="s">
        <v>2281</v>
      </c>
    </row>
    <row r="199" spans="4:20">
      <c r="D199" s="4" t="s">
        <v>1066</v>
      </c>
      <c r="E199" s="3" t="s">
        <v>982</v>
      </c>
      <c r="F199" s="3" t="s">
        <v>1016</v>
      </c>
      <c r="G199" s="3" t="s">
        <v>1229</v>
      </c>
      <c r="H199" s="3" t="s">
        <v>941</v>
      </c>
      <c r="I199" s="3" t="s">
        <v>981</v>
      </c>
      <c r="J199" s="3" t="s">
        <v>1593</v>
      </c>
      <c r="K199" s="3" t="s">
        <v>1465</v>
      </c>
      <c r="L199" s="3" t="s">
        <v>1759</v>
      </c>
      <c r="M199" s="2" t="s">
        <v>993</v>
      </c>
      <c r="N199" s="3" t="s">
        <v>1163</v>
      </c>
      <c r="O199" s="3" t="s">
        <v>1009</v>
      </c>
      <c r="P199" s="3" t="s">
        <v>941</v>
      </c>
      <c r="Q199" s="6"/>
      <c r="R199" s="3" t="s">
        <v>1064</v>
      </c>
      <c r="S199" s="3" t="s">
        <v>2204</v>
      </c>
      <c r="T199" s="3" t="s">
        <v>2282</v>
      </c>
    </row>
    <row r="200" spans="4:20">
      <c r="D200" s="3" t="s">
        <v>1061</v>
      </c>
      <c r="E200" s="3" t="s">
        <v>1111</v>
      </c>
      <c r="F200" s="3" t="s">
        <v>1311</v>
      </c>
      <c r="G200" s="3" t="s">
        <v>943</v>
      </c>
      <c r="H200" s="3" t="s">
        <v>1410</v>
      </c>
      <c r="I200" s="3" t="s">
        <v>987</v>
      </c>
      <c r="J200" s="3" t="s">
        <v>1023</v>
      </c>
      <c r="K200" s="3" t="s">
        <v>1680</v>
      </c>
      <c r="L200" s="3" t="s">
        <v>1760</v>
      </c>
      <c r="M200" s="3" t="s">
        <v>994</v>
      </c>
      <c r="N200" s="3" t="s">
        <v>1023</v>
      </c>
      <c r="O200" s="3" t="s">
        <v>1010</v>
      </c>
      <c r="P200" s="3" t="s">
        <v>1914</v>
      </c>
      <c r="Q200" s="3" t="s">
        <v>912</v>
      </c>
      <c r="R200" s="3" t="s">
        <v>915</v>
      </c>
      <c r="S200" s="3" t="s">
        <v>1015</v>
      </c>
      <c r="T200" s="3" t="s">
        <v>1982</v>
      </c>
    </row>
    <row r="201" spans="4:20">
      <c r="D201" s="3" t="s">
        <v>1062</v>
      </c>
      <c r="E201" s="3" t="s">
        <v>981</v>
      </c>
      <c r="F201" s="3" t="s">
        <v>1262</v>
      </c>
      <c r="G201" s="3" t="s">
        <v>912</v>
      </c>
      <c r="H201" s="3" t="s">
        <v>943</v>
      </c>
      <c r="I201" s="3" t="s">
        <v>988</v>
      </c>
      <c r="J201" s="3" t="s">
        <v>912</v>
      </c>
      <c r="K201" s="3" t="s">
        <v>1143</v>
      </c>
      <c r="L201" s="3" t="s">
        <v>1761</v>
      </c>
      <c r="M201" s="2" t="s">
        <v>995</v>
      </c>
      <c r="N201" s="3" t="s">
        <v>912</v>
      </c>
      <c r="O201" s="3" t="s">
        <v>1840</v>
      </c>
      <c r="P201" s="3" t="s">
        <v>943</v>
      </c>
      <c r="Q201" s="3" t="s">
        <v>2015</v>
      </c>
      <c r="R201" s="3" t="s">
        <v>2078</v>
      </c>
      <c r="S201" s="3" t="s">
        <v>1014</v>
      </c>
      <c r="T201" s="3" t="s">
        <v>1983</v>
      </c>
    </row>
    <row r="202" spans="4:20">
      <c r="D202" s="3" t="s">
        <v>1071</v>
      </c>
      <c r="E202" s="3" t="s">
        <v>982</v>
      </c>
      <c r="F202" s="3" t="s">
        <v>1312</v>
      </c>
      <c r="G202" s="3" t="s">
        <v>1230</v>
      </c>
      <c r="H202" s="3" t="s">
        <v>1099</v>
      </c>
      <c r="I202" s="3" t="s">
        <v>144</v>
      </c>
      <c r="J202" s="3" t="s">
        <v>1594</v>
      </c>
      <c r="K202" s="3" t="s">
        <v>1041</v>
      </c>
      <c r="L202" s="3" t="s">
        <v>916</v>
      </c>
      <c r="M202" s="3" t="s">
        <v>996</v>
      </c>
      <c r="N202" s="3" t="s">
        <v>1506</v>
      </c>
      <c r="O202" s="3" t="s">
        <v>1844</v>
      </c>
      <c r="P202" s="6"/>
      <c r="Q202" s="3" t="s">
        <v>916</v>
      </c>
      <c r="R202" s="4" t="s">
        <v>1066</v>
      </c>
      <c r="S202" s="3" t="s">
        <v>1016</v>
      </c>
      <c r="T202" s="3" t="s">
        <v>2283</v>
      </c>
    </row>
    <row r="203" spans="4:20">
      <c r="D203" s="3" t="s">
        <v>1064</v>
      </c>
      <c r="E203" s="3" t="s">
        <v>1168</v>
      </c>
      <c r="F203" s="3" t="s">
        <v>943</v>
      </c>
      <c r="G203" s="3" t="s">
        <v>1231</v>
      </c>
      <c r="H203" s="3" t="s">
        <v>1164</v>
      </c>
      <c r="I203" s="2" t="s">
        <v>989</v>
      </c>
      <c r="J203" s="3" t="s">
        <v>916</v>
      </c>
      <c r="K203" s="3" t="s">
        <v>943</v>
      </c>
      <c r="L203" s="6"/>
      <c r="M203" s="3" t="s">
        <v>997</v>
      </c>
      <c r="N203" s="3" t="s">
        <v>1507</v>
      </c>
      <c r="O203" s="3" t="s">
        <v>1842</v>
      </c>
      <c r="P203" s="3" t="s">
        <v>912</v>
      </c>
      <c r="Q203" s="3" t="s">
        <v>941</v>
      </c>
      <c r="R203" s="3" t="s">
        <v>1061</v>
      </c>
      <c r="S203" s="3" t="s">
        <v>2205</v>
      </c>
      <c r="T203" s="4" t="s">
        <v>1985</v>
      </c>
    </row>
    <row r="204" spans="4:20">
      <c r="D204" s="3" t="s">
        <v>915</v>
      </c>
      <c r="E204" s="3" t="s">
        <v>981</v>
      </c>
      <c r="F204" s="3" t="s">
        <v>1313</v>
      </c>
      <c r="G204" s="3" t="s">
        <v>916</v>
      </c>
      <c r="H204" s="3" t="s">
        <v>1165</v>
      </c>
      <c r="I204" s="3" t="s">
        <v>990</v>
      </c>
      <c r="J204" s="3" t="s">
        <v>1020</v>
      </c>
      <c r="K204" s="3" t="s">
        <v>917</v>
      </c>
      <c r="L204" s="3" t="s">
        <v>1762</v>
      </c>
      <c r="M204" s="3" t="s">
        <v>998</v>
      </c>
      <c r="N204" s="3" t="s">
        <v>916</v>
      </c>
      <c r="O204" s="3" t="s">
        <v>1843</v>
      </c>
      <c r="P204" s="3" t="s">
        <v>1915</v>
      </c>
      <c r="Q204" s="3" t="s">
        <v>2016</v>
      </c>
      <c r="R204" s="3" t="s">
        <v>2077</v>
      </c>
      <c r="S204" s="3" t="s">
        <v>1117</v>
      </c>
      <c r="T204" s="3" t="s">
        <v>1986</v>
      </c>
    </row>
    <row r="205" spans="4:20">
      <c r="D205" s="3" t="s">
        <v>1014</v>
      </c>
      <c r="E205" s="3" t="s">
        <v>982</v>
      </c>
      <c r="F205" s="3" t="s">
        <v>1262</v>
      </c>
      <c r="G205" s="3" t="s">
        <v>941</v>
      </c>
      <c r="H205" s="3" t="s">
        <v>1100</v>
      </c>
      <c r="I205" s="2" t="s">
        <v>991</v>
      </c>
      <c r="J205" s="3" t="s">
        <v>1595</v>
      </c>
      <c r="K205" s="3" t="s">
        <v>1681</v>
      </c>
      <c r="L205" s="3" t="s">
        <v>912</v>
      </c>
      <c r="M205" s="3" t="s">
        <v>999</v>
      </c>
      <c r="N205" s="3" t="s">
        <v>1020</v>
      </c>
      <c r="O205" s="3" t="s">
        <v>1704</v>
      </c>
      <c r="P205" s="3" t="s">
        <v>1916</v>
      </c>
      <c r="Q205" s="3" t="s">
        <v>943</v>
      </c>
      <c r="R205" s="3" t="s">
        <v>1067</v>
      </c>
      <c r="S205" s="3" t="s">
        <v>2206</v>
      </c>
      <c r="T205" s="3" t="s">
        <v>2284</v>
      </c>
    </row>
    <row r="206" spans="4:20">
      <c r="D206" s="3" t="s">
        <v>1072</v>
      </c>
      <c r="E206" s="3" t="s">
        <v>1169</v>
      </c>
      <c r="F206" s="3" t="s">
        <v>1314</v>
      </c>
      <c r="G206" s="3" t="s">
        <v>1232</v>
      </c>
      <c r="H206" s="6"/>
      <c r="I206" s="3" t="s">
        <v>1171</v>
      </c>
      <c r="J206" s="3" t="s">
        <v>1023</v>
      </c>
      <c r="K206" s="3" t="s">
        <v>921</v>
      </c>
      <c r="L206" s="3" t="s">
        <v>1763</v>
      </c>
      <c r="M206" s="3" t="s">
        <v>1000</v>
      </c>
      <c r="N206" s="3" t="s">
        <v>1508</v>
      </c>
      <c r="O206" s="3" t="s">
        <v>1705</v>
      </c>
      <c r="P206" s="3" t="s">
        <v>916</v>
      </c>
      <c r="Q206" s="3" t="s">
        <v>2017</v>
      </c>
      <c r="R206" s="3" t="s">
        <v>1064</v>
      </c>
      <c r="S206" s="3" t="s">
        <v>2207</v>
      </c>
      <c r="T206" s="3" t="s">
        <v>2271</v>
      </c>
    </row>
    <row r="207" spans="4:20">
      <c r="D207" s="3" t="s">
        <v>1073</v>
      </c>
      <c r="E207" s="3" t="s">
        <v>981</v>
      </c>
      <c r="F207" s="3" t="s">
        <v>943</v>
      </c>
      <c r="G207" s="3" t="s">
        <v>1233</v>
      </c>
      <c r="H207" s="3" t="s">
        <v>1101</v>
      </c>
      <c r="I207" s="2" t="s">
        <v>993</v>
      </c>
      <c r="J207" s="3" t="s">
        <v>912</v>
      </c>
      <c r="K207" s="3" t="s">
        <v>1682</v>
      </c>
      <c r="L207" s="3" t="s">
        <v>1764</v>
      </c>
      <c r="M207" s="3" t="s">
        <v>1001</v>
      </c>
      <c r="N207" s="3" t="s">
        <v>1023</v>
      </c>
      <c r="O207" s="3" t="s">
        <v>1284</v>
      </c>
      <c r="P207" s="3" t="s">
        <v>941</v>
      </c>
      <c r="Q207" s="3" t="s">
        <v>912</v>
      </c>
      <c r="R207" s="3" t="s">
        <v>915</v>
      </c>
      <c r="S207" s="3" t="s">
        <v>1163</v>
      </c>
      <c r="T207" s="3" t="s">
        <v>1989</v>
      </c>
    </row>
    <row r="208" spans="4:20">
      <c r="D208" s="3" t="s">
        <v>1074</v>
      </c>
      <c r="E208" s="3" t="s">
        <v>982</v>
      </c>
      <c r="F208" s="6"/>
      <c r="G208" s="3" t="s">
        <v>943</v>
      </c>
      <c r="H208" s="3" t="s">
        <v>1102</v>
      </c>
      <c r="I208" s="3" t="s">
        <v>994</v>
      </c>
      <c r="J208" s="3" t="s">
        <v>1596</v>
      </c>
      <c r="K208" s="3" t="s">
        <v>1683</v>
      </c>
      <c r="L208" s="3" t="s">
        <v>916</v>
      </c>
      <c r="M208" s="3" t="s">
        <v>1002</v>
      </c>
      <c r="N208" s="3" t="s">
        <v>912</v>
      </c>
      <c r="O208" s="3" t="s">
        <v>1015</v>
      </c>
      <c r="P208" s="3" t="s">
        <v>1917</v>
      </c>
      <c r="Q208" s="3" t="s">
        <v>2018</v>
      </c>
      <c r="R208" s="3" t="s">
        <v>2079</v>
      </c>
      <c r="S208" s="3" t="s">
        <v>1016</v>
      </c>
      <c r="T208" s="3" t="s">
        <v>1990</v>
      </c>
    </row>
    <row r="209" spans="4:20">
      <c r="D209" s="3" t="s">
        <v>1075</v>
      </c>
      <c r="E209" s="3" t="s">
        <v>984</v>
      </c>
      <c r="F209" s="3" t="s">
        <v>1315</v>
      </c>
      <c r="G209" s="3" t="s">
        <v>912</v>
      </c>
      <c r="H209" s="3" t="s">
        <v>1103</v>
      </c>
      <c r="I209" s="2" t="s">
        <v>995</v>
      </c>
      <c r="J209" s="3" t="s">
        <v>916</v>
      </c>
      <c r="K209" s="3" t="s">
        <v>1684</v>
      </c>
      <c r="L209" s="3" t="s">
        <v>1020</v>
      </c>
      <c r="M209" s="6"/>
      <c r="N209" s="3" t="s">
        <v>1509</v>
      </c>
      <c r="O209" s="3" t="s">
        <v>1014</v>
      </c>
      <c r="P209" s="3" t="s">
        <v>943</v>
      </c>
      <c r="Q209" s="3" t="s">
        <v>2019</v>
      </c>
      <c r="R209" s="4" t="s">
        <v>1066</v>
      </c>
      <c r="S209" s="3" t="s">
        <v>912</v>
      </c>
      <c r="T209" s="3" t="s">
        <v>2285</v>
      </c>
    </row>
    <row r="210" spans="4:20">
      <c r="D210" s="3" t="s">
        <v>1076</v>
      </c>
      <c r="E210" s="3" t="s">
        <v>981</v>
      </c>
      <c r="F210" s="3" t="s">
        <v>912</v>
      </c>
      <c r="G210" s="3" t="s">
        <v>1234</v>
      </c>
      <c r="H210" s="3" t="s">
        <v>943</v>
      </c>
      <c r="I210" s="3" t="s">
        <v>996</v>
      </c>
      <c r="J210" s="3" t="s">
        <v>1020</v>
      </c>
      <c r="K210" s="3" t="s">
        <v>1685</v>
      </c>
      <c r="L210" s="3" t="s">
        <v>1765</v>
      </c>
      <c r="M210" s="3" t="s">
        <v>1003</v>
      </c>
      <c r="N210" s="3" t="s">
        <v>1510</v>
      </c>
      <c r="O210" s="3" t="s">
        <v>1010</v>
      </c>
      <c r="P210" s="6"/>
      <c r="Q210" s="3" t="s">
        <v>916</v>
      </c>
      <c r="R210" s="3" t="s">
        <v>1061</v>
      </c>
      <c r="S210" s="3" t="s">
        <v>2208</v>
      </c>
      <c r="T210" s="4" t="s">
        <v>1992</v>
      </c>
    </row>
    <row r="211" spans="4:20">
      <c r="D211" s="3" t="s">
        <v>1077</v>
      </c>
      <c r="E211" s="3" t="s">
        <v>982</v>
      </c>
      <c r="F211" s="3" t="s">
        <v>1316</v>
      </c>
      <c r="G211" s="3" t="s">
        <v>1235</v>
      </c>
      <c r="H211" s="6"/>
      <c r="I211" s="3" t="s">
        <v>997</v>
      </c>
      <c r="J211" s="3" t="s">
        <v>1597</v>
      </c>
      <c r="K211" s="3" t="s">
        <v>1686</v>
      </c>
      <c r="L211" s="3" t="s">
        <v>1023</v>
      </c>
      <c r="N211" s="3" t="s">
        <v>1511</v>
      </c>
      <c r="O211" s="3" t="s">
        <v>1042</v>
      </c>
      <c r="P211" s="3" t="s">
        <v>912</v>
      </c>
      <c r="Q211" s="6"/>
      <c r="R211" s="3" t="s">
        <v>2077</v>
      </c>
      <c r="S211" s="3" t="s">
        <v>2209</v>
      </c>
      <c r="T211" s="3" t="s">
        <v>1986</v>
      </c>
    </row>
    <row r="212" spans="4:20">
      <c r="D212" s="3" t="s">
        <v>1078</v>
      </c>
      <c r="E212" s="3" t="s">
        <v>1170</v>
      </c>
      <c r="F212" s="3" t="s">
        <v>1317</v>
      </c>
      <c r="G212" s="3" t="s">
        <v>1236</v>
      </c>
      <c r="H212" s="3" t="s">
        <v>1253</v>
      </c>
      <c r="I212" s="3" t="s">
        <v>998</v>
      </c>
      <c r="J212" s="3" t="s">
        <v>1023</v>
      </c>
      <c r="K212" s="3" t="s">
        <v>925</v>
      </c>
      <c r="L212" s="3" t="s">
        <v>1766</v>
      </c>
      <c r="N212" s="3" t="s">
        <v>1512</v>
      </c>
      <c r="O212" s="3" t="s">
        <v>1845</v>
      </c>
      <c r="P212" s="3" t="s">
        <v>1918</v>
      </c>
      <c r="Q212" s="3" t="s">
        <v>1009</v>
      </c>
      <c r="R212" s="3" t="s">
        <v>1069</v>
      </c>
      <c r="S212" s="3" t="s">
        <v>2210</v>
      </c>
      <c r="T212" s="3" t="s">
        <v>2286</v>
      </c>
    </row>
    <row r="213" spans="4:20">
      <c r="D213" s="3" t="s">
        <v>1016</v>
      </c>
      <c r="E213" s="3" t="s">
        <v>981</v>
      </c>
      <c r="F213" s="3" t="s">
        <v>1318</v>
      </c>
      <c r="G213" s="3" t="s">
        <v>1237</v>
      </c>
      <c r="H213" s="3" t="s">
        <v>1411</v>
      </c>
      <c r="I213" s="3" t="s">
        <v>999</v>
      </c>
      <c r="J213" s="3" t="s">
        <v>912</v>
      </c>
      <c r="K213" s="3" t="s">
        <v>1649</v>
      </c>
      <c r="L213" s="3" t="s">
        <v>1767</v>
      </c>
      <c r="N213" s="3" t="s">
        <v>1513</v>
      </c>
      <c r="O213" s="3" t="s">
        <v>1846</v>
      </c>
      <c r="P213" s="3" t="s">
        <v>1919</v>
      </c>
      <c r="Q213" s="3" t="s">
        <v>1010</v>
      </c>
      <c r="R213" s="3" t="s">
        <v>1064</v>
      </c>
      <c r="S213" s="3" t="s">
        <v>916</v>
      </c>
      <c r="T213" s="3" t="s">
        <v>2287</v>
      </c>
    </row>
    <row r="214" spans="4:20">
      <c r="D214" s="3" t="s">
        <v>912</v>
      </c>
      <c r="E214" s="3" t="s">
        <v>986</v>
      </c>
      <c r="F214" s="3" t="s">
        <v>1319</v>
      </c>
      <c r="G214" s="3" t="s">
        <v>916</v>
      </c>
      <c r="H214" s="3" t="s">
        <v>1412</v>
      </c>
      <c r="I214" s="3" t="s">
        <v>1000</v>
      </c>
      <c r="J214" s="3" t="s">
        <v>1598</v>
      </c>
      <c r="K214" s="3" t="s">
        <v>1139</v>
      </c>
      <c r="L214" s="3" t="s">
        <v>1165</v>
      </c>
      <c r="N214" s="3" t="s">
        <v>916</v>
      </c>
      <c r="O214" s="3" t="s">
        <v>1847</v>
      </c>
      <c r="P214" s="3" t="s">
        <v>1920</v>
      </c>
      <c r="Q214" s="3" t="s">
        <v>1816</v>
      </c>
      <c r="R214" s="3" t="s">
        <v>915</v>
      </c>
      <c r="S214" s="3" t="s">
        <v>1117</v>
      </c>
      <c r="T214" s="3" t="s">
        <v>1989</v>
      </c>
    </row>
    <row r="215" spans="4:20">
      <c r="D215" s="3" t="s">
        <v>1079</v>
      </c>
      <c r="E215" s="3" t="s">
        <v>981</v>
      </c>
      <c r="F215" s="3" t="s">
        <v>1320</v>
      </c>
      <c r="G215" s="3" t="s">
        <v>1099</v>
      </c>
      <c r="H215" s="3" t="s">
        <v>1413</v>
      </c>
      <c r="I215" s="3" t="s">
        <v>1001</v>
      </c>
      <c r="J215" s="3" t="s">
        <v>916</v>
      </c>
      <c r="K215" s="3" t="s">
        <v>1687</v>
      </c>
      <c r="L215" s="6"/>
      <c r="N215" s="3" t="s">
        <v>1020</v>
      </c>
      <c r="O215" s="3" t="s">
        <v>1015</v>
      </c>
      <c r="P215" s="3" t="s">
        <v>1921</v>
      </c>
      <c r="Q215" s="3" t="s">
        <v>2020</v>
      </c>
      <c r="R215" s="3" t="s">
        <v>1014</v>
      </c>
      <c r="S215" s="3" t="s">
        <v>2211</v>
      </c>
      <c r="T215" s="3" t="s">
        <v>1990</v>
      </c>
    </row>
    <row r="216" spans="4:20">
      <c r="D216" s="3" t="s">
        <v>916</v>
      </c>
      <c r="E216" s="3" t="s">
        <v>987</v>
      </c>
      <c r="F216" s="3" t="s">
        <v>916</v>
      </c>
      <c r="G216" s="3" t="s">
        <v>1164</v>
      </c>
      <c r="H216" s="2" t="s">
        <v>1414</v>
      </c>
      <c r="I216" s="3" t="s">
        <v>1002</v>
      </c>
      <c r="J216" s="3" t="s">
        <v>1020</v>
      </c>
      <c r="K216" s="3" t="s">
        <v>1688</v>
      </c>
      <c r="L216" s="3" t="s">
        <v>1768</v>
      </c>
      <c r="N216" s="3" t="s">
        <v>1514</v>
      </c>
      <c r="O216" s="3" t="s">
        <v>1014</v>
      </c>
      <c r="P216" s="3" t="s">
        <v>1922</v>
      </c>
      <c r="Q216" s="3" t="s">
        <v>2021</v>
      </c>
      <c r="R216" s="3" t="s">
        <v>2080</v>
      </c>
      <c r="S216" s="3" t="s">
        <v>1016</v>
      </c>
      <c r="T216" s="3" t="s">
        <v>2288</v>
      </c>
    </row>
    <row r="217" spans="4:20">
      <c r="D217" s="3" t="s">
        <v>1020</v>
      </c>
      <c r="E217" s="3" t="s">
        <v>988</v>
      </c>
      <c r="F217" s="3" t="s">
        <v>1321</v>
      </c>
      <c r="G217" s="3" t="s">
        <v>1165</v>
      </c>
      <c r="H217" s="2" t="s">
        <v>903</v>
      </c>
      <c r="I217" s="6"/>
      <c r="J217" s="3" t="s">
        <v>1599</v>
      </c>
      <c r="K217" s="3" t="s">
        <v>1078</v>
      </c>
      <c r="L217" s="4" t="s">
        <v>1533</v>
      </c>
      <c r="N217" s="3" t="s">
        <v>1023</v>
      </c>
      <c r="O217" s="3" t="s">
        <v>1016</v>
      </c>
      <c r="P217" s="3" t="s">
        <v>916</v>
      </c>
      <c r="Q217" s="3" t="s">
        <v>914</v>
      </c>
      <c r="R217" s="3" t="s">
        <v>1073</v>
      </c>
      <c r="S217" s="3" t="s">
        <v>912</v>
      </c>
      <c r="T217" s="4" t="s">
        <v>1992</v>
      </c>
    </row>
    <row r="218" spans="4:20">
      <c r="D218" s="3" t="s">
        <v>1080</v>
      </c>
      <c r="E218" s="3" t="s">
        <v>144</v>
      </c>
      <c r="F218" s="3" t="s">
        <v>1322</v>
      </c>
      <c r="G218" s="6"/>
      <c r="H218" s="2" t="s">
        <v>904</v>
      </c>
      <c r="I218" s="3" t="s">
        <v>1003</v>
      </c>
      <c r="J218" s="3" t="s">
        <v>1023</v>
      </c>
      <c r="K218" s="3" t="s">
        <v>1119</v>
      </c>
      <c r="L218" s="6"/>
      <c r="N218" s="3" t="s">
        <v>912</v>
      </c>
      <c r="O218" s="6"/>
      <c r="P218" s="3" t="s">
        <v>941</v>
      </c>
      <c r="Q218" s="3" t="s">
        <v>1284</v>
      </c>
      <c r="R218" s="3" t="s">
        <v>1074</v>
      </c>
      <c r="S218" s="3" t="s">
        <v>2212</v>
      </c>
      <c r="T218" s="3" t="s">
        <v>1986</v>
      </c>
    </row>
    <row r="219" spans="4:20">
      <c r="D219" s="3" t="s">
        <v>1023</v>
      </c>
      <c r="E219" s="2" t="s">
        <v>989</v>
      </c>
      <c r="F219" s="3" t="s">
        <v>1323</v>
      </c>
      <c r="G219" s="3" t="s">
        <v>941</v>
      </c>
      <c r="H219" s="3" t="s">
        <v>976</v>
      </c>
      <c r="J219" s="3" t="s">
        <v>912</v>
      </c>
      <c r="K219" s="3" t="s">
        <v>1016</v>
      </c>
      <c r="L219" s="3" t="s">
        <v>1535</v>
      </c>
      <c r="N219" s="3" t="s">
        <v>1515</v>
      </c>
      <c r="O219" s="3" t="s">
        <v>941</v>
      </c>
      <c r="P219" s="3" t="s">
        <v>1923</v>
      </c>
      <c r="Q219" s="3" t="s">
        <v>1014</v>
      </c>
      <c r="R219" s="3" t="s">
        <v>2081</v>
      </c>
      <c r="S219" s="3" t="s">
        <v>2213</v>
      </c>
      <c r="T219" s="3" t="s">
        <v>2289</v>
      </c>
    </row>
    <row r="220" spans="4:20">
      <c r="D220" s="3" t="s">
        <v>1081</v>
      </c>
      <c r="E220" s="3" t="s">
        <v>990</v>
      </c>
      <c r="F220" s="3" t="s">
        <v>1016</v>
      </c>
      <c r="G220" s="3" t="s">
        <v>1238</v>
      </c>
      <c r="H220" s="3" t="s">
        <v>1109</v>
      </c>
      <c r="J220" s="3" t="s">
        <v>1600</v>
      </c>
      <c r="K220" s="3" t="s">
        <v>1139</v>
      </c>
      <c r="L220" s="3" t="s">
        <v>1536</v>
      </c>
      <c r="N220" s="3" t="s">
        <v>916</v>
      </c>
      <c r="O220" s="3" t="s">
        <v>1848</v>
      </c>
      <c r="P220" s="3" t="s">
        <v>943</v>
      </c>
      <c r="Q220" s="3" t="s">
        <v>1010</v>
      </c>
      <c r="R220" s="3" t="s">
        <v>2082</v>
      </c>
      <c r="S220" s="3" t="s">
        <v>2214</v>
      </c>
      <c r="T220" s="3" t="s">
        <v>2273</v>
      </c>
    </row>
    <row r="221" spans="4:20">
      <c r="D221" s="3" t="s">
        <v>1082</v>
      </c>
      <c r="E221" s="2" t="s">
        <v>991</v>
      </c>
      <c r="F221" s="3" t="s">
        <v>912</v>
      </c>
      <c r="G221" s="3" t="s">
        <v>1239</v>
      </c>
      <c r="H221" s="3" t="s">
        <v>1255</v>
      </c>
      <c r="J221" s="3" t="s">
        <v>916</v>
      </c>
      <c r="K221" s="3" t="s">
        <v>1689</v>
      </c>
      <c r="L221" s="6"/>
      <c r="N221" s="3" t="s">
        <v>1020</v>
      </c>
      <c r="O221" s="3" t="s">
        <v>943</v>
      </c>
      <c r="P221" s="6"/>
      <c r="Q221" s="3" t="s">
        <v>1816</v>
      </c>
      <c r="R221" s="3" t="s">
        <v>1041</v>
      </c>
      <c r="S221" s="3" t="s">
        <v>2215</v>
      </c>
      <c r="T221" s="3" t="s">
        <v>1989</v>
      </c>
    </row>
    <row r="222" spans="4:20">
      <c r="D222" s="3" t="s">
        <v>1083</v>
      </c>
      <c r="E222" s="3" t="s">
        <v>1171</v>
      </c>
      <c r="F222" s="3" t="s">
        <v>1324</v>
      </c>
      <c r="G222" s="3" t="s">
        <v>943</v>
      </c>
      <c r="H222" s="3" t="s">
        <v>978</v>
      </c>
      <c r="J222" s="3" t="s">
        <v>1020</v>
      </c>
      <c r="K222" s="3" t="s">
        <v>1690</v>
      </c>
      <c r="L222" s="3" t="s">
        <v>1253</v>
      </c>
      <c r="N222" s="3" t="s">
        <v>1516</v>
      </c>
      <c r="O222" s="6"/>
      <c r="P222" s="3" t="s">
        <v>912</v>
      </c>
      <c r="Q222" s="3" t="s">
        <v>2022</v>
      </c>
      <c r="R222" s="3" t="s">
        <v>2083</v>
      </c>
      <c r="S222" s="3" t="s">
        <v>2216</v>
      </c>
      <c r="T222" s="3" t="s">
        <v>1990</v>
      </c>
    </row>
    <row r="223" spans="4:20">
      <c r="D223" s="3" t="s">
        <v>1084</v>
      </c>
      <c r="E223" s="2" t="s">
        <v>993</v>
      </c>
      <c r="F223" s="3" t="s">
        <v>1325</v>
      </c>
      <c r="G223" s="3" t="s">
        <v>1240</v>
      </c>
      <c r="H223" s="3" t="s">
        <v>979</v>
      </c>
      <c r="J223" s="3" t="s">
        <v>1601</v>
      </c>
      <c r="K223" s="3" t="s">
        <v>1691</v>
      </c>
      <c r="L223" s="3" t="s">
        <v>1537</v>
      </c>
      <c r="N223" s="3" t="s">
        <v>1023</v>
      </c>
      <c r="O223" s="3" t="s">
        <v>912</v>
      </c>
      <c r="P223" s="3" t="s">
        <v>1924</v>
      </c>
      <c r="Q223" s="3" t="s">
        <v>2023</v>
      </c>
      <c r="R223" s="3" t="s">
        <v>1078</v>
      </c>
      <c r="S223" s="3" t="s">
        <v>916</v>
      </c>
      <c r="T223" s="3" t="s">
        <v>1064</v>
      </c>
    </row>
    <row r="224" spans="4:20">
      <c r="D224" s="3" t="s">
        <v>1085</v>
      </c>
      <c r="E224" s="3" t="s">
        <v>994</v>
      </c>
      <c r="F224" s="3" t="s">
        <v>1326</v>
      </c>
      <c r="G224" s="3" t="s">
        <v>912</v>
      </c>
      <c r="H224" s="3" t="s">
        <v>1167</v>
      </c>
      <c r="J224" s="3" t="s">
        <v>1023</v>
      </c>
      <c r="K224" s="3" t="s">
        <v>1692</v>
      </c>
      <c r="L224" s="3" t="s">
        <v>1107</v>
      </c>
      <c r="N224" s="3" t="s">
        <v>912</v>
      </c>
      <c r="O224" s="3" t="s">
        <v>1849</v>
      </c>
      <c r="P224" s="3" t="s">
        <v>1925</v>
      </c>
      <c r="Q224" s="3" t="s">
        <v>914</v>
      </c>
      <c r="R224" s="3" t="s">
        <v>1016</v>
      </c>
      <c r="S224" s="3" t="s">
        <v>1009</v>
      </c>
      <c r="T224" s="3" t="s">
        <v>2290</v>
      </c>
    </row>
    <row r="225" spans="4:20">
      <c r="D225" s="3" t="s">
        <v>1086</v>
      </c>
      <c r="E225" s="2" t="s">
        <v>995</v>
      </c>
      <c r="F225" s="3" t="s">
        <v>1327</v>
      </c>
      <c r="G225" s="3" t="s">
        <v>1241</v>
      </c>
      <c r="H225" s="3" t="s">
        <v>981</v>
      </c>
      <c r="J225" s="3" t="s">
        <v>1602</v>
      </c>
      <c r="K225" s="3" t="s">
        <v>1693</v>
      </c>
      <c r="L225" s="2" t="s">
        <v>1108</v>
      </c>
      <c r="N225" s="3" t="s">
        <v>1517</v>
      </c>
      <c r="O225" s="3" t="s">
        <v>1850</v>
      </c>
      <c r="P225" s="3" t="s">
        <v>1926</v>
      </c>
      <c r="Q225" s="3" t="s">
        <v>1284</v>
      </c>
      <c r="R225" s="3" t="s">
        <v>912</v>
      </c>
      <c r="S225" s="3" t="s">
        <v>1010</v>
      </c>
      <c r="T225" s="3" t="s">
        <v>2002</v>
      </c>
    </row>
    <row r="226" spans="4:20">
      <c r="D226" s="3" t="s">
        <v>1087</v>
      </c>
      <c r="E226" s="3" t="s">
        <v>996</v>
      </c>
      <c r="F226" s="3" t="s">
        <v>1328</v>
      </c>
      <c r="G226" s="3" t="s">
        <v>1242</v>
      </c>
      <c r="H226" s="3" t="s">
        <v>982</v>
      </c>
      <c r="J226" s="3" t="s">
        <v>912</v>
      </c>
      <c r="K226" s="3" t="s">
        <v>1694</v>
      </c>
      <c r="L226" s="2" t="s">
        <v>903</v>
      </c>
      <c r="N226" s="3" t="s">
        <v>916</v>
      </c>
      <c r="O226" s="3" t="s">
        <v>1851</v>
      </c>
      <c r="P226" s="3" t="s">
        <v>1927</v>
      </c>
      <c r="Q226" s="6"/>
      <c r="R226" s="3" t="s">
        <v>2084</v>
      </c>
      <c r="S226" s="3" t="s">
        <v>1816</v>
      </c>
      <c r="T226" s="3" t="s">
        <v>2003</v>
      </c>
    </row>
    <row r="227" spans="4:20">
      <c r="D227" s="3" t="s">
        <v>1088</v>
      </c>
      <c r="E227" s="3" t="s">
        <v>997</v>
      </c>
      <c r="F227" s="3" t="s">
        <v>1329</v>
      </c>
      <c r="G227" s="3" t="s">
        <v>1243</v>
      </c>
      <c r="H227" s="3" t="s">
        <v>1415</v>
      </c>
      <c r="J227" s="3" t="s">
        <v>1603</v>
      </c>
      <c r="K227" s="3" t="s">
        <v>1119</v>
      </c>
      <c r="L227" s="2" t="s">
        <v>904</v>
      </c>
      <c r="N227" s="6"/>
      <c r="O227" s="3" t="s">
        <v>1852</v>
      </c>
      <c r="P227" s="3" t="s">
        <v>1928</v>
      </c>
      <c r="Q227" s="3" t="s">
        <v>1014</v>
      </c>
      <c r="R227" s="3" t="s">
        <v>916</v>
      </c>
      <c r="S227" s="3" t="s">
        <v>2217</v>
      </c>
      <c r="T227" s="3" t="s">
        <v>2291</v>
      </c>
    </row>
    <row r="228" spans="4:20">
      <c r="D228" s="3" t="s">
        <v>1089</v>
      </c>
      <c r="E228" s="3" t="s">
        <v>998</v>
      </c>
      <c r="F228" s="3" t="s">
        <v>916</v>
      </c>
      <c r="G228" s="3" t="s">
        <v>1244</v>
      </c>
      <c r="H228" s="3" t="s">
        <v>981</v>
      </c>
      <c r="J228" s="3" t="s">
        <v>1604</v>
      </c>
      <c r="K228" s="3" t="s">
        <v>1016</v>
      </c>
      <c r="L228" s="3" t="s">
        <v>976</v>
      </c>
      <c r="N228" s="3" t="s">
        <v>1009</v>
      </c>
      <c r="O228" s="3" t="s">
        <v>916</v>
      </c>
      <c r="P228" s="3" t="s">
        <v>916</v>
      </c>
      <c r="Q228" s="3" t="s">
        <v>1016</v>
      </c>
      <c r="R228" s="6"/>
      <c r="S228" s="3" t="s">
        <v>2218</v>
      </c>
      <c r="T228" s="3" t="s">
        <v>2005</v>
      </c>
    </row>
    <row r="229" spans="4:20">
      <c r="D229" s="3" t="s">
        <v>1090</v>
      </c>
      <c r="E229" s="3" t="s">
        <v>999</v>
      </c>
      <c r="F229" s="3" t="s">
        <v>1330</v>
      </c>
      <c r="G229" s="3" t="s">
        <v>1245</v>
      </c>
      <c r="H229" s="3" t="s">
        <v>982</v>
      </c>
      <c r="J229" s="3" t="s">
        <v>1605</v>
      </c>
      <c r="K229" s="3" t="s">
        <v>917</v>
      </c>
      <c r="L229" s="3" t="s">
        <v>1109</v>
      </c>
      <c r="N229" s="3" t="s">
        <v>1010</v>
      </c>
      <c r="O229" s="3" t="s">
        <v>941</v>
      </c>
      <c r="P229" s="3" t="s">
        <v>941</v>
      </c>
      <c r="Q229" s="3" t="s">
        <v>912</v>
      </c>
      <c r="R229" s="3" t="s">
        <v>912</v>
      </c>
      <c r="S229" s="3" t="s">
        <v>914</v>
      </c>
      <c r="T229" s="3" t="s">
        <v>2006</v>
      </c>
    </row>
    <row r="230" spans="4:20">
      <c r="D230" s="3" t="s">
        <v>1091</v>
      </c>
      <c r="E230" s="3" t="s">
        <v>1000</v>
      </c>
      <c r="F230" s="3" t="s">
        <v>1331</v>
      </c>
      <c r="G230" s="3" t="s">
        <v>1246</v>
      </c>
      <c r="H230" s="3" t="s">
        <v>1416</v>
      </c>
      <c r="J230" s="3" t="s">
        <v>1093</v>
      </c>
      <c r="K230" s="3" t="s">
        <v>1649</v>
      </c>
      <c r="L230" s="3" t="s">
        <v>1539</v>
      </c>
      <c r="N230" s="3" t="s">
        <v>1011</v>
      </c>
      <c r="O230" s="3" t="s">
        <v>1853</v>
      </c>
      <c r="P230" s="3" t="s">
        <v>1929</v>
      </c>
      <c r="Q230" s="3" t="s">
        <v>2024</v>
      </c>
      <c r="R230" s="3" t="s">
        <v>2085</v>
      </c>
      <c r="S230" s="3" t="s">
        <v>1284</v>
      </c>
      <c r="T230" s="3" t="s">
        <v>914</v>
      </c>
    </row>
    <row r="231" spans="4:20">
      <c r="D231" s="3" t="s">
        <v>1092</v>
      </c>
      <c r="E231" s="3" t="s">
        <v>1001</v>
      </c>
      <c r="F231" s="5" t="s">
        <v>1332</v>
      </c>
      <c r="G231" s="3" t="s">
        <v>1247</v>
      </c>
      <c r="H231" s="3" t="s">
        <v>981</v>
      </c>
      <c r="J231" s="3" t="s">
        <v>1606</v>
      </c>
      <c r="K231" s="3" t="s">
        <v>1139</v>
      </c>
      <c r="L231" s="3" t="s">
        <v>978</v>
      </c>
      <c r="N231" s="3" t="s">
        <v>1518</v>
      </c>
      <c r="O231" s="3" t="s">
        <v>943</v>
      </c>
      <c r="P231" s="3" t="s">
        <v>1930</v>
      </c>
      <c r="Q231" s="3" t="s">
        <v>2025</v>
      </c>
      <c r="R231" s="3" t="s">
        <v>2086</v>
      </c>
      <c r="S231" s="3" t="s">
        <v>1014</v>
      </c>
      <c r="T231" s="3" t="s">
        <v>915</v>
      </c>
    </row>
    <row r="232" spans="4:20">
      <c r="D232" s="3" t="s">
        <v>1093</v>
      </c>
      <c r="E232" s="3" t="s">
        <v>1002</v>
      </c>
      <c r="F232" s="3" t="s">
        <v>1016</v>
      </c>
      <c r="G232" s="3" t="s">
        <v>1248</v>
      </c>
      <c r="H232" s="3" t="s">
        <v>982</v>
      </c>
      <c r="J232" s="3" t="s">
        <v>1607</v>
      </c>
      <c r="K232" s="3" t="s">
        <v>1695</v>
      </c>
      <c r="L232" s="3" t="s">
        <v>979</v>
      </c>
      <c r="N232" s="3" t="s">
        <v>1013</v>
      </c>
      <c r="O232" s="6"/>
      <c r="P232" s="3" t="s">
        <v>943</v>
      </c>
      <c r="Q232" s="3" t="s">
        <v>2026</v>
      </c>
      <c r="R232" s="3" t="s">
        <v>916</v>
      </c>
      <c r="S232" s="3" t="s">
        <v>1010</v>
      </c>
      <c r="T232" s="3" t="s">
        <v>2007</v>
      </c>
    </row>
    <row r="233" spans="4:20">
      <c r="D233" s="6"/>
      <c r="E233" s="6"/>
      <c r="F233" s="3" t="s">
        <v>1333</v>
      </c>
      <c r="G233" s="3" t="s">
        <v>1249</v>
      </c>
      <c r="H233" s="3" t="s">
        <v>1417</v>
      </c>
      <c r="J233" s="3" t="s">
        <v>916</v>
      </c>
      <c r="K233" s="3" t="s">
        <v>1696</v>
      </c>
      <c r="L233" s="3" t="s">
        <v>1167</v>
      </c>
      <c r="N233" s="3" t="s">
        <v>1014</v>
      </c>
      <c r="O233" s="3" t="s">
        <v>912</v>
      </c>
      <c r="P233" s="3" t="s">
        <v>1009</v>
      </c>
      <c r="Q233" s="3" t="s">
        <v>916</v>
      </c>
      <c r="R233" s="3" t="s">
        <v>1009</v>
      </c>
      <c r="S233" s="3" t="s">
        <v>1816</v>
      </c>
      <c r="T233" s="2" t="s">
        <v>2008</v>
      </c>
    </row>
    <row r="234" spans="4:20">
      <c r="D234" s="3" t="s">
        <v>916</v>
      </c>
      <c r="E234" s="3" t="s">
        <v>1003</v>
      </c>
      <c r="F234" s="3" t="s">
        <v>1334</v>
      </c>
      <c r="G234" s="3" t="s">
        <v>1250</v>
      </c>
      <c r="H234" s="3" t="s">
        <v>981</v>
      </c>
      <c r="J234" s="3" t="s">
        <v>1020</v>
      </c>
      <c r="K234" s="3" t="s">
        <v>1697</v>
      </c>
      <c r="L234" s="3" t="s">
        <v>981</v>
      </c>
      <c r="N234" s="3" t="s">
        <v>1010</v>
      </c>
      <c r="O234" s="3" t="s">
        <v>1854</v>
      </c>
      <c r="P234" s="3" t="s">
        <v>1010</v>
      </c>
      <c r="Q234" s="3" t="s">
        <v>1009</v>
      </c>
      <c r="R234" s="3" t="s">
        <v>1280</v>
      </c>
      <c r="S234" s="3" t="s">
        <v>2219</v>
      </c>
      <c r="T234" s="2" t="s">
        <v>2009</v>
      </c>
    </row>
    <row r="235" spans="4:20">
      <c r="D235" s="3" t="s">
        <v>1094</v>
      </c>
      <c r="F235" s="3" t="s">
        <v>1335</v>
      </c>
      <c r="G235" s="3" t="s">
        <v>1251</v>
      </c>
      <c r="H235" s="3" t="s">
        <v>982</v>
      </c>
      <c r="J235" s="3" t="s">
        <v>1608</v>
      </c>
      <c r="K235" s="3" t="s">
        <v>1698</v>
      </c>
      <c r="L235" s="3" t="s">
        <v>982</v>
      </c>
      <c r="N235" s="3" t="s">
        <v>1011</v>
      </c>
      <c r="O235" s="3" t="s">
        <v>916</v>
      </c>
      <c r="P235" s="3" t="s">
        <v>1816</v>
      </c>
      <c r="Q235" s="3" t="s">
        <v>1010</v>
      </c>
      <c r="R235" s="3" t="s">
        <v>1816</v>
      </c>
      <c r="S235" s="3" t="s">
        <v>2220</v>
      </c>
      <c r="T235" s="3" t="s">
        <v>2292</v>
      </c>
    </row>
    <row r="236" spans="4:20">
      <c r="D236" s="3" t="s">
        <v>1095</v>
      </c>
      <c r="F236" s="3" t="s">
        <v>1336</v>
      </c>
      <c r="G236" s="3" t="s">
        <v>1252</v>
      </c>
      <c r="H236" s="3" t="s">
        <v>1418</v>
      </c>
      <c r="J236" s="3" t="s">
        <v>1023</v>
      </c>
      <c r="K236" s="3" t="s">
        <v>1699</v>
      </c>
      <c r="L236" s="3" t="s">
        <v>1111</v>
      </c>
      <c r="N236" s="3" t="s">
        <v>1519</v>
      </c>
      <c r="O236" s="3" t="s">
        <v>941</v>
      </c>
      <c r="P236" s="3" t="s">
        <v>1931</v>
      </c>
      <c r="Q236" s="3" t="s">
        <v>1042</v>
      </c>
      <c r="R236" s="3" t="s">
        <v>2087</v>
      </c>
      <c r="S236" s="3" t="s">
        <v>914</v>
      </c>
      <c r="T236" s="3" t="s">
        <v>916</v>
      </c>
    </row>
    <row r="237" spans="4:20">
      <c r="D237" s="3" t="s">
        <v>1020</v>
      </c>
      <c r="F237" s="3" t="s">
        <v>1337</v>
      </c>
      <c r="G237" s="3" t="s">
        <v>916</v>
      </c>
      <c r="H237" s="3" t="s">
        <v>981</v>
      </c>
      <c r="J237" s="3" t="s">
        <v>912</v>
      </c>
      <c r="K237" s="3" t="s">
        <v>1700</v>
      </c>
      <c r="L237" s="3" t="s">
        <v>981</v>
      </c>
      <c r="N237" s="3" t="s">
        <v>1013</v>
      </c>
      <c r="O237" s="3" t="s">
        <v>1855</v>
      </c>
      <c r="P237" s="3" t="s">
        <v>1932</v>
      </c>
      <c r="Q237" s="3" t="s">
        <v>2027</v>
      </c>
      <c r="R237" s="3" t="s">
        <v>2088</v>
      </c>
      <c r="S237" s="3" t="s">
        <v>1284</v>
      </c>
      <c r="T237" s="3" t="s">
        <v>941</v>
      </c>
    </row>
    <row r="238" spans="4:20">
      <c r="D238" s="3" t="s">
        <v>1096</v>
      </c>
      <c r="F238" s="3" t="s">
        <v>916</v>
      </c>
      <c r="G238" s="6"/>
      <c r="H238" s="3" t="s">
        <v>982</v>
      </c>
      <c r="J238" s="3" t="s">
        <v>1609</v>
      </c>
      <c r="K238" s="3" t="s">
        <v>1119</v>
      </c>
      <c r="L238" s="3" t="s">
        <v>982</v>
      </c>
      <c r="N238" s="3" t="s">
        <v>1014</v>
      </c>
      <c r="O238" s="3" t="s">
        <v>943</v>
      </c>
      <c r="P238" s="6"/>
      <c r="Q238" s="3" t="s">
        <v>2028</v>
      </c>
      <c r="R238" s="3" t="s">
        <v>914</v>
      </c>
      <c r="S238" s="6"/>
      <c r="T238" s="3" t="s">
        <v>2293</v>
      </c>
    </row>
    <row r="239" spans="4:20">
      <c r="D239" s="3" t="s">
        <v>1023</v>
      </c>
      <c r="F239" s="3" t="s">
        <v>1330</v>
      </c>
      <c r="G239" s="3" t="s">
        <v>1100</v>
      </c>
      <c r="H239" s="3" t="s">
        <v>1419</v>
      </c>
      <c r="J239" s="3" t="s">
        <v>1610</v>
      </c>
      <c r="K239" s="3" t="s">
        <v>1016</v>
      </c>
      <c r="L239" s="3" t="s">
        <v>1769</v>
      </c>
      <c r="N239" s="3" t="s">
        <v>1016</v>
      </c>
      <c r="O239" s="3" t="s">
        <v>1856</v>
      </c>
      <c r="P239" s="3" t="s">
        <v>914</v>
      </c>
      <c r="Q239" s="3" t="s">
        <v>2029</v>
      </c>
      <c r="R239" s="3" t="s">
        <v>1284</v>
      </c>
      <c r="S239" s="3" t="s">
        <v>1014</v>
      </c>
      <c r="T239" s="3" t="s">
        <v>943</v>
      </c>
    </row>
    <row r="240" spans="4:20">
      <c r="D240" s="3" t="s">
        <v>1020</v>
      </c>
      <c r="F240" s="3" t="s">
        <v>1338</v>
      </c>
      <c r="G240" s="6"/>
      <c r="H240" s="3" t="s">
        <v>981</v>
      </c>
      <c r="J240" s="3" t="s">
        <v>1611</v>
      </c>
      <c r="K240" s="3" t="s">
        <v>1139</v>
      </c>
      <c r="L240" s="3" t="s">
        <v>981</v>
      </c>
      <c r="N240" s="3" t="s">
        <v>912</v>
      </c>
      <c r="O240" s="3" t="s">
        <v>912</v>
      </c>
      <c r="P240" s="3" t="s">
        <v>1284</v>
      </c>
      <c r="Q240" s="3" t="s">
        <v>2030</v>
      </c>
      <c r="R240" s="3" t="s">
        <v>1014</v>
      </c>
      <c r="S240" s="3" t="s">
        <v>1016</v>
      </c>
      <c r="T240" s="6"/>
    </row>
    <row r="241" spans="4:20">
      <c r="D241" s="3" t="s">
        <v>1097</v>
      </c>
      <c r="F241" s="3" t="s">
        <v>1339</v>
      </c>
      <c r="G241" s="3" t="s">
        <v>1101</v>
      </c>
      <c r="H241" s="3" t="s">
        <v>986</v>
      </c>
      <c r="J241" s="3" t="s">
        <v>1612</v>
      </c>
      <c r="K241" s="3" t="s">
        <v>1687</v>
      </c>
      <c r="L241" s="3" t="s">
        <v>982</v>
      </c>
      <c r="N241" s="3" t="s">
        <v>1520</v>
      </c>
      <c r="O241" s="3" t="s">
        <v>1857</v>
      </c>
      <c r="P241" s="3" t="s">
        <v>1014</v>
      </c>
      <c r="Q241" s="3" t="s">
        <v>2031</v>
      </c>
      <c r="R241" s="3" t="s">
        <v>1285</v>
      </c>
      <c r="S241" s="3" t="s">
        <v>912</v>
      </c>
      <c r="T241" s="3" t="s">
        <v>912</v>
      </c>
    </row>
    <row r="242" spans="4:20">
      <c r="D242" s="3" t="s">
        <v>1027</v>
      </c>
      <c r="F242" s="3" t="s">
        <v>1016</v>
      </c>
      <c r="G242" s="3" t="s">
        <v>1102</v>
      </c>
      <c r="H242" s="3" t="s">
        <v>981</v>
      </c>
      <c r="J242" s="3" t="s">
        <v>1613</v>
      </c>
      <c r="K242" s="3" t="s">
        <v>1701</v>
      </c>
      <c r="L242" s="3" t="s">
        <v>1770</v>
      </c>
      <c r="N242" s="3" t="s">
        <v>916</v>
      </c>
      <c r="O242" s="3" t="s">
        <v>1858</v>
      </c>
      <c r="P242" s="3" t="s">
        <v>1010</v>
      </c>
      <c r="Q242" s="3" t="s">
        <v>2032</v>
      </c>
      <c r="R242" s="3" t="s">
        <v>1042</v>
      </c>
      <c r="S242" s="3" t="s">
        <v>2221</v>
      </c>
      <c r="T242" s="3" t="s">
        <v>2294</v>
      </c>
    </row>
    <row r="243" spans="4:20">
      <c r="D243" s="4" t="s">
        <v>1098</v>
      </c>
      <c r="F243" s="3" t="s">
        <v>1340</v>
      </c>
      <c r="G243" s="3" t="s">
        <v>1103</v>
      </c>
      <c r="H243" s="3" t="s">
        <v>987</v>
      </c>
      <c r="J243" s="3" t="s">
        <v>1614</v>
      </c>
      <c r="K243" s="3" t="s">
        <v>1141</v>
      </c>
      <c r="L243" s="3" t="s">
        <v>981</v>
      </c>
      <c r="N243" s="3" t="s">
        <v>1020</v>
      </c>
      <c r="O243" s="3" t="s">
        <v>1859</v>
      </c>
      <c r="P243" s="3" t="s">
        <v>1816</v>
      </c>
      <c r="Q243" s="3" t="s">
        <v>1015</v>
      </c>
      <c r="R243" s="3" t="s">
        <v>2089</v>
      </c>
      <c r="S243" s="3" t="s">
        <v>2222</v>
      </c>
      <c r="T243" s="3" t="s">
        <v>916</v>
      </c>
    </row>
    <row r="244" spans="4:20">
      <c r="D244" s="3" t="s">
        <v>1023</v>
      </c>
      <c r="F244" s="3" t="s">
        <v>1341</v>
      </c>
      <c r="G244" s="3" t="s">
        <v>943</v>
      </c>
      <c r="H244" s="3" t="s">
        <v>988</v>
      </c>
      <c r="J244" s="3" t="s">
        <v>1615</v>
      </c>
      <c r="K244" s="3" t="s">
        <v>1702</v>
      </c>
      <c r="L244" s="3" t="s">
        <v>982</v>
      </c>
      <c r="N244" s="3" t="s">
        <v>1521</v>
      </c>
      <c r="O244" s="3" t="s">
        <v>1860</v>
      </c>
      <c r="P244" s="3" t="s">
        <v>1933</v>
      </c>
      <c r="Q244" s="3" t="s">
        <v>1014</v>
      </c>
      <c r="R244" s="3" t="s">
        <v>2090</v>
      </c>
      <c r="S244" s="3" t="s">
        <v>2223</v>
      </c>
      <c r="T244" s="3" t="s">
        <v>941</v>
      </c>
    </row>
    <row r="245" spans="4:20">
      <c r="D245" s="3" t="s">
        <v>1099</v>
      </c>
      <c r="F245" s="3" t="s">
        <v>1342</v>
      </c>
      <c r="G245" s="3" t="s">
        <v>1253</v>
      </c>
      <c r="H245" s="3" t="s">
        <v>144</v>
      </c>
      <c r="J245" s="3" t="s">
        <v>1616</v>
      </c>
      <c r="K245" s="4" t="s">
        <v>1703</v>
      </c>
      <c r="L245" s="3" t="s">
        <v>984</v>
      </c>
      <c r="N245" s="3" t="s">
        <v>1023</v>
      </c>
      <c r="O245" s="3" t="s">
        <v>1861</v>
      </c>
      <c r="P245" s="3" t="s">
        <v>1934</v>
      </c>
      <c r="Q245" s="6"/>
      <c r="R245" s="3" t="s">
        <v>1015</v>
      </c>
      <c r="S245" s="3" t="s">
        <v>2224</v>
      </c>
      <c r="T245" s="3" t="s">
        <v>2295</v>
      </c>
    </row>
    <row r="246" spans="4:20">
      <c r="D246" s="3" t="s">
        <v>965</v>
      </c>
      <c r="F246" s="3" t="s">
        <v>1343</v>
      </c>
      <c r="G246" s="3" t="s">
        <v>1254</v>
      </c>
      <c r="H246" s="2" t="s">
        <v>989</v>
      </c>
      <c r="J246" s="3" t="s">
        <v>916</v>
      </c>
      <c r="K246" s="3" t="s">
        <v>1704</v>
      </c>
      <c r="L246" s="3" t="s">
        <v>981</v>
      </c>
      <c r="N246" s="3" t="s">
        <v>912</v>
      </c>
      <c r="O246" s="3" t="s">
        <v>916</v>
      </c>
      <c r="P246" s="3" t="s">
        <v>914</v>
      </c>
      <c r="Q246" s="3" t="s">
        <v>1010</v>
      </c>
      <c r="R246" s="3" t="s">
        <v>1014</v>
      </c>
      <c r="S246" s="3" t="s">
        <v>916</v>
      </c>
      <c r="T246" s="3" t="s">
        <v>943</v>
      </c>
    </row>
    <row r="247" spans="4:20">
      <c r="D247" s="3" t="s">
        <v>1100</v>
      </c>
      <c r="F247" s="3" t="s">
        <v>916</v>
      </c>
      <c r="G247" s="3" t="s">
        <v>916</v>
      </c>
      <c r="H247" s="3" t="s">
        <v>990</v>
      </c>
      <c r="J247" s="3" t="s">
        <v>1020</v>
      </c>
      <c r="K247" s="3" t="s">
        <v>1705</v>
      </c>
      <c r="L247" s="3" t="s">
        <v>982</v>
      </c>
      <c r="N247" s="3" t="s">
        <v>1522</v>
      </c>
      <c r="O247" s="3" t="s">
        <v>941</v>
      </c>
      <c r="P247" s="3" t="s">
        <v>1284</v>
      </c>
      <c r="Q247" s="3" t="s">
        <v>1816</v>
      </c>
      <c r="R247" s="3" t="s">
        <v>1016</v>
      </c>
      <c r="S247" s="3" t="s">
        <v>1009</v>
      </c>
      <c r="T247" s="3" t="s">
        <v>912</v>
      </c>
    </row>
    <row r="248" spans="4:20">
      <c r="D248" s="6"/>
      <c r="F248" s="3" t="s">
        <v>1099</v>
      </c>
      <c r="G248" s="3" t="s">
        <v>1107</v>
      </c>
      <c r="H248" s="2" t="s">
        <v>991</v>
      </c>
      <c r="J248" s="3" t="s">
        <v>1617</v>
      </c>
      <c r="K248" s="3" t="s">
        <v>1078</v>
      </c>
      <c r="L248" s="3" t="s">
        <v>1771</v>
      </c>
      <c r="N248" s="3" t="s">
        <v>1523</v>
      </c>
      <c r="O248" s="3" t="s">
        <v>1862</v>
      </c>
      <c r="P248" s="6"/>
      <c r="Q248" s="3" t="s">
        <v>2033</v>
      </c>
      <c r="R248" s="3" t="s">
        <v>941</v>
      </c>
      <c r="S248" s="3" t="s">
        <v>1010</v>
      </c>
      <c r="T248" s="3" t="s">
        <v>2296</v>
      </c>
    </row>
    <row r="249" spans="4:20">
      <c r="D249" s="3" t="s">
        <v>1101</v>
      </c>
      <c r="F249" s="3" t="s">
        <v>1344</v>
      </c>
      <c r="G249" s="2" t="s">
        <v>1108</v>
      </c>
      <c r="H249" s="3" t="s">
        <v>1171</v>
      </c>
      <c r="J249" s="3" t="s">
        <v>1023</v>
      </c>
      <c r="K249" s="3" t="s">
        <v>1119</v>
      </c>
      <c r="L249" s="3" t="s">
        <v>981</v>
      </c>
      <c r="N249" s="3" t="s">
        <v>916</v>
      </c>
      <c r="O249" s="3" t="s">
        <v>943</v>
      </c>
      <c r="P249" s="3" t="s">
        <v>1014</v>
      </c>
      <c r="Q249" s="3" t="s">
        <v>2034</v>
      </c>
      <c r="R249" s="3" t="s">
        <v>2091</v>
      </c>
      <c r="S249" s="3" t="s">
        <v>1816</v>
      </c>
      <c r="T249" s="3" t="s">
        <v>916</v>
      </c>
    </row>
    <row r="250" spans="4:20">
      <c r="D250" s="3" t="s">
        <v>1102</v>
      </c>
      <c r="F250" s="3" t="s">
        <v>1163</v>
      </c>
      <c r="G250" s="2" t="s">
        <v>903</v>
      </c>
      <c r="H250" s="2" t="s">
        <v>993</v>
      </c>
      <c r="J250" s="3" t="s">
        <v>912</v>
      </c>
      <c r="K250" s="3" t="s">
        <v>1016</v>
      </c>
      <c r="L250" s="3" t="s">
        <v>1543</v>
      </c>
      <c r="N250" s="3" t="s">
        <v>1020</v>
      </c>
      <c r="O250" s="3" t="s">
        <v>1863</v>
      </c>
      <c r="P250" s="3" t="s">
        <v>1016</v>
      </c>
      <c r="Q250" s="3" t="s">
        <v>914</v>
      </c>
      <c r="R250" s="3" t="s">
        <v>2092</v>
      </c>
      <c r="S250" s="3" t="s">
        <v>2225</v>
      </c>
      <c r="T250" s="3" t="s">
        <v>1009</v>
      </c>
    </row>
    <row r="251" spans="4:20">
      <c r="D251" s="3" t="s">
        <v>1103</v>
      </c>
      <c r="F251" s="3" t="s">
        <v>1100</v>
      </c>
      <c r="G251" s="2" t="s">
        <v>904</v>
      </c>
      <c r="H251" s="3" t="s">
        <v>994</v>
      </c>
      <c r="J251" s="3" t="s">
        <v>1618</v>
      </c>
      <c r="K251" s="3" t="s">
        <v>917</v>
      </c>
      <c r="L251" s="3" t="s">
        <v>981</v>
      </c>
      <c r="N251" s="3" t="s">
        <v>1524</v>
      </c>
      <c r="O251" s="3" t="s">
        <v>943</v>
      </c>
      <c r="P251" s="3" t="s">
        <v>941</v>
      </c>
      <c r="Q251" s="3" t="s">
        <v>1284</v>
      </c>
      <c r="R251" s="3" t="s">
        <v>1078</v>
      </c>
      <c r="S251" s="3" t="s">
        <v>2226</v>
      </c>
      <c r="T251" s="3" t="s">
        <v>1010</v>
      </c>
    </row>
    <row r="252" spans="4:20">
      <c r="D252" s="3" t="s">
        <v>943</v>
      </c>
      <c r="F252" s="6"/>
      <c r="G252" s="3" t="s">
        <v>976</v>
      </c>
      <c r="H252" s="2" t="s">
        <v>995</v>
      </c>
      <c r="J252" s="3" t="s">
        <v>916</v>
      </c>
      <c r="K252" s="3" t="s">
        <v>1706</v>
      </c>
      <c r="L252" s="3" t="s">
        <v>987</v>
      </c>
      <c r="N252" s="3" t="s">
        <v>1023</v>
      </c>
      <c r="O252" s="3" t="s">
        <v>1864</v>
      </c>
      <c r="P252" s="3" t="s">
        <v>1935</v>
      </c>
      <c r="Q252" s="3" t="s">
        <v>1014</v>
      </c>
      <c r="R252" s="3" t="s">
        <v>943</v>
      </c>
      <c r="S252" s="3" t="s">
        <v>914</v>
      </c>
      <c r="T252" s="3" t="s">
        <v>1816</v>
      </c>
    </row>
    <row r="253" spans="4:20">
      <c r="D253" s="3" t="s">
        <v>1104</v>
      </c>
      <c r="F253" s="3" t="s">
        <v>1101</v>
      </c>
      <c r="G253" s="3" t="s">
        <v>1109</v>
      </c>
      <c r="H253" s="3" t="s">
        <v>996</v>
      </c>
      <c r="J253" s="3" t="s">
        <v>1532</v>
      </c>
      <c r="K253" s="3" t="s">
        <v>1536</v>
      </c>
      <c r="L253" s="3" t="s">
        <v>988</v>
      </c>
      <c r="N253" s="3" t="s">
        <v>912</v>
      </c>
      <c r="O253" s="3" t="s">
        <v>912</v>
      </c>
      <c r="P253" s="3" t="s">
        <v>943</v>
      </c>
      <c r="Q253" s="3" t="s">
        <v>1016</v>
      </c>
      <c r="R253" s="3" t="s">
        <v>941</v>
      </c>
      <c r="S253" s="3" t="s">
        <v>1284</v>
      </c>
      <c r="T253" s="3" t="s">
        <v>2297</v>
      </c>
    </row>
    <row r="254" spans="4:20">
      <c r="D254" s="3" t="s">
        <v>1105</v>
      </c>
      <c r="F254" s="3" t="s">
        <v>1102</v>
      </c>
      <c r="G254" s="3" t="s">
        <v>1255</v>
      </c>
      <c r="H254" s="3" t="s">
        <v>997</v>
      </c>
      <c r="J254" s="4" t="s">
        <v>1533</v>
      </c>
      <c r="K254" s="6"/>
      <c r="L254" s="2" t="s">
        <v>989</v>
      </c>
      <c r="N254" s="3" t="s">
        <v>1525</v>
      </c>
      <c r="O254" s="3" t="s">
        <v>1865</v>
      </c>
      <c r="P254" s="6"/>
      <c r="Q254" s="3" t="s">
        <v>1009</v>
      </c>
      <c r="R254" s="3" t="s">
        <v>2093</v>
      </c>
      <c r="S254" s="3" t="s">
        <v>1014</v>
      </c>
      <c r="T254" s="3" t="s">
        <v>2298</v>
      </c>
    </row>
    <row r="255" spans="4:20">
      <c r="D255" s="3" t="s">
        <v>1106</v>
      </c>
      <c r="F255" s="3" t="s">
        <v>1103</v>
      </c>
      <c r="G255" s="3" t="s">
        <v>978</v>
      </c>
      <c r="H255" s="3" t="s">
        <v>998</v>
      </c>
      <c r="J255" s="3" t="s">
        <v>1534</v>
      </c>
      <c r="K255" s="3" t="s">
        <v>921</v>
      </c>
      <c r="L255" s="3" t="s">
        <v>990</v>
      </c>
      <c r="N255" s="3" t="s">
        <v>1526</v>
      </c>
      <c r="O255" s="3" t="s">
        <v>1866</v>
      </c>
      <c r="P255" s="3" t="s">
        <v>912</v>
      </c>
      <c r="Q255" s="6"/>
      <c r="R255" s="3" t="s">
        <v>943</v>
      </c>
      <c r="S255" s="3" t="s">
        <v>1010</v>
      </c>
      <c r="T255" s="3" t="s">
        <v>914</v>
      </c>
    </row>
    <row r="256" spans="4:20">
      <c r="D256" s="3" t="s">
        <v>916</v>
      </c>
      <c r="F256" s="3" t="s">
        <v>943</v>
      </c>
      <c r="G256" s="3" t="s">
        <v>979</v>
      </c>
      <c r="H256" s="3" t="s">
        <v>999</v>
      </c>
      <c r="J256" s="3" t="s">
        <v>1103</v>
      </c>
      <c r="K256" s="3" t="s">
        <v>1707</v>
      </c>
      <c r="L256" s="2" t="s">
        <v>991</v>
      </c>
      <c r="N256" s="3" t="s">
        <v>1527</v>
      </c>
      <c r="O256" s="3" t="s">
        <v>1867</v>
      </c>
      <c r="P256" s="3" t="s">
        <v>1936</v>
      </c>
      <c r="Q256" s="3" t="s">
        <v>1010</v>
      </c>
      <c r="R256" s="6"/>
      <c r="S256" s="3" t="s">
        <v>2227</v>
      </c>
      <c r="T256" s="3" t="s">
        <v>1284</v>
      </c>
    </row>
    <row r="257" spans="3:20">
      <c r="D257" s="3" t="s">
        <v>1107</v>
      </c>
      <c r="F257" s="3" t="s">
        <v>1104</v>
      </c>
      <c r="G257" s="3" t="s">
        <v>1167</v>
      </c>
      <c r="H257" s="3" t="s">
        <v>1000</v>
      </c>
      <c r="J257" s="3" t="s">
        <v>943</v>
      </c>
      <c r="K257" s="3" t="s">
        <v>925</v>
      </c>
      <c r="L257" s="3" t="s">
        <v>1171</v>
      </c>
      <c r="N257" s="3" t="s">
        <v>916</v>
      </c>
      <c r="O257" s="3" t="s">
        <v>1868</v>
      </c>
      <c r="P257" s="3" t="s">
        <v>1937</v>
      </c>
      <c r="Q257" s="3" t="s">
        <v>1816</v>
      </c>
      <c r="R257" s="3" t="s">
        <v>2094</v>
      </c>
      <c r="S257" s="3" t="s">
        <v>2228</v>
      </c>
      <c r="T257" s="3" t="s">
        <v>1014</v>
      </c>
    </row>
    <row r="258" spans="3:20">
      <c r="D258" s="2" t="s">
        <v>1108</v>
      </c>
      <c r="F258" s="3" t="s">
        <v>1345</v>
      </c>
      <c r="G258" s="3" t="s">
        <v>981</v>
      </c>
      <c r="H258" s="3" t="s">
        <v>1001</v>
      </c>
      <c r="J258" s="3" t="s">
        <v>1099</v>
      </c>
      <c r="K258" s="3" t="s">
        <v>1708</v>
      </c>
      <c r="L258" s="2" t="s">
        <v>993</v>
      </c>
      <c r="N258" s="3" t="s">
        <v>1020</v>
      </c>
      <c r="O258" s="3" t="s">
        <v>1869</v>
      </c>
      <c r="P258" s="3" t="s">
        <v>1938</v>
      </c>
      <c r="Q258" s="3" t="s">
        <v>2035</v>
      </c>
      <c r="R258" s="3" t="s">
        <v>912</v>
      </c>
      <c r="S258" s="3" t="s">
        <v>2229</v>
      </c>
      <c r="T258" s="3" t="s">
        <v>1010</v>
      </c>
    </row>
    <row r="259" spans="3:20">
      <c r="D259" s="2" t="s">
        <v>903</v>
      </c>
      <c r="F259" s="5" t="s">
        <v>1346</v>
      </c>
      <c r="G259" s="3" t="s">
        <v>982</v>
      </c>
      <c r="H259" s="3" t="s">
        <v>1002</v>
      </c>
      <c r="J259" s="3" t="s">
        <v>965</v>
      </c>
      <c r="K259" s="4" t="s">
        <v>1709</v>
      </c>
      <c r="L259" s="3" t="s">
        <v>994</v>
      </c>
      <c r="N259" s="3" t="s">
        <v>1528</v>
      </c>
      <c r="O259" s="3" t="s">
        <v>1470</v>
      </c>
      <c r="P259" s="3" t="s">
        <v>916</v>
      </c>
      <c r="Q259" s="3" t="s">
        <v>2036</v>
      </c>
      <c r="R259" s="3" t="s">
        <v>2095</v>
      </c>
      <c r="S259" s="3" t="s">
        <v>1664</v>
      </c>
      <c r="T259" s="3" t="s">
        <v>1816</v>
      </c>
    </row>
    <row r="260" spans="3:20">
      <c r="D260" s="2" t="s">
        <v>904</v>
      </c>
      <c r="F260" s="3" t="s">
        <v>1347</v>
      </c>
      <c r="G260" s="3" t="s">
        <v>1111</v>
      </c>
      <c r="H260" s="6"/>
      <c r="J260" s="6"/>
      <c r="K260" s="3" t="s">
        <v>1710</v>
      </c>
      <c r="L260" s="2" t="s">
        <v>995</v>
      </c>
      <c r="N260" s="3" t="s">
        <v>1023</v>
      </c>
      <c r="O260" s="3" t="s">
        <v>1470</v>
      </c>
      <c r="P260" s="6"/>
      <c r="Q260" s="3" t="s">
        <v>914</v>
      </c>
      <c r="R260" s="3" t="s">
        <v>2096</v>
      </c>
      <c r="S260" s="3" t="s">
        <v>915</v>
      </c>
      <c r="T260" s="3" t="s">
        <v>2299</v>
      </c>
    </row>
    <row r="261" spans="3:20">
      <c r="D261" s="3" t="s">
        <v>976</v>
      </c>
      <c r="F261" s="3" t="s">
        <v>1105</v>
      </c>
      <c r="G261" s="3" t="s">
        <v>981</v>
      </c>
      <c r="H261" s="3" t="s">
        <v>1003</v>
      </c>
      <c r="J261" s="3" t="s">
        <v>943</v>
      </c>
      <c r="K261" s="3" t="s">
        <v>969</v>
      </c>
      <c r="L261" s="3" t="s">
        <v>996</v>
      </c>
      <c r="N261" s="3" t="s">
        <v>1529</v>
      </c>
      <c r="O261" s="3" t="s">
        <v>1870</v>
      </c>
      <c r="P261" s="3" t="s">
        <v>1939</v>
      </c>
      <c r="Q261" s="3" t="s">
        <v>1284</v>
      </c>
      <c r="R261" s="3" t="s">
        <v>2097</v>
      </c>
      <c r="S261" s="6"/>
      <c r="T261" s="3" t="s">
        <v>2300</v>
      </c>
    </row>
    <row r="262" spans="3:20">
      <c r="D262" s="6"/>
      <c r="F262" s="3" t="s">
        <v>1106</v>
      </c>
      <c r="G262" s="3" t="s">
        <v>982</v>
      </c>
      <c r="J262" s="3" t="s">
        <v>1253</v>
      </c>
      <c r="K262" s="3" t="s">
        <v>929</v>
      </c>
      <c r="L262" s="3" t="s">
        <v>997</v>
      </c>
      <c r="N262" s="3" t="s">
        <v>1020</v>
      </c>
      <c r="O262" s="3" t="s">
        <v>1871</v>
      </c>
      <c r="P262" s="3" t="s">
        <v>912</v>
      </c>
      <c r="Q262" s="6"/>
      <c r="R262" s="3" t="s">
        <v>2098</v>
      </c>
      <c r="S262" s="3" t="s">
        <v>1014</v>
      </c>
      <c r="T262" s="3" t="s">
        <v>914</v>
      </c>
    </row>
    <row r="263" spans="3:20">
      <c r="D263" s="6"/>
      <c r="F263" s="3" t="s">
        <v>916</v>
      </c>
      <c r="G263" s="3" t="s">
        <v>1256</v>
      </c>
      <c r="J263" s="3" t="s">
        <v>1537</v>
      </c>
      <c r="K263" s="3" t="s">
        <v>1453</v>
      </c>
      <c r="L263" s="3" t="s">
        <v>998</v>
      </c>
      <c r="N263" s="3" t="s">
        <v>1530</v>
      </c>
      <c r="O263" s="3" t="s">
        <v>1872</v>
      </c>
      <c r="P263" s="3" t="s">
        <v>1940</v>
      </c>
      <c r="Q263" s="3" t="s">
        <v>1014</v>
      </c>
      <c r="R263" s="3" t="s">
        <v>2099</v>
      </c>
      <c r="S263" s="3" t="s">
        <v>1016</v>
      </c>
      <c r="T263" s="3" t="s">
        <v>1284</v>
      </c>
    </row>
    <row r="264" spans="3:20">
      <c r="D264" s="6"/>
      <c r="F264" s="3" t="s">
        <v>1107</v>
      </c>
      <c r="G264" s="3" t="s">
        <v>981</v>
      </c>
      <c r="J264" s="3" t="s">
        <v>1107</v>
      </c>
      <c r="K264" s="3" t="s">
        <v>1711</v>
      </c>
      <c r="L264" s="3" t="s">
        <v>999</v>
      </c>
      <c r="N264" s="3" t="s">
        <v>1023</v>
      </c>
      <c r="O264" s="3" t="s">
        <v>1873</v>
      </c>
      <c r="P264" s="3" t="s">
        <v>1941</v>
      </c>
      <c r="Q264" s="3" t="s">
        <v>1010</v>
      </c>
      <c r="R264" s="3" t="s">
        <v>2100</v>
      </c>
      <c r="S264" s="6"/>
      <c r="T264" s="6"/>
    </row>
    <row r="265" spans="3:20">
      <c r="D265" s="6"/>
      <c r="F265" s="2" t="s">
        <v>1108</v>
      </c>
      <c r="G265" s="3" t="s">
        <v>982</v>
      </c>
      <c r="J265" s="2" t="s">
        <v>1108</v>
      </c>
      <c r="K265" s="3" t="s">
        <v>1712</v>
      </c>
      <c r="L265" s="3" t="s">
        <v>1000</v>
      </c>
      <c r="N265" s="6"/>
      <c r="O265" s="3" t="s">
        <v>1874</v>
      </c>
      <c r="P265" s="3" t="s">
        <v>1942</v>
      </c>
      <c r="Q265" s="3" t="s">
        <v>1816</v>
      </c>
      <c r="R265" s="3" t="s">
        <v>916</v>
      </c>
      <c r="S265" s="3" t="s">
        <v>2230</v>
      </c>
      <c r="T265" s="3" t="s">
        <v>1014</v>
      </c>
    </row>
    <row r="266" spans="3:20">
      <c r="D266" s="6"/>
      <c r="F266" s="2" t="s">
        <v>903</v>
      </c>
      <c r="G266" s="3" t="s">
        <v>1257</v>
      </c>
      <c r="J266" s="2" t="s">
        <v>903</v>
      </c>
      <c r="K266" s="2" t="s">
        <v>974</v>
      </c>
      <c r="L266" s="3" t="s">
        <v>1001</v>
      </c>
      <c r="N266" s="3" t="s">
        <v>912</v>
      </c>
      <c r="O266" s="3" t="s">
        <v>1470</v>
      </c>
      <c r="P266" s="3" t="s">
        <v>1943</v>
      </c>
      <c r="Q266" s="3" t="s">
        <v>2037</v>
      </c>
      <c r="R266" s="3" t="s">
        <v>941</v>
      </c>
      <c r="S266" s="3" t="s">
        <v>912</v>
      </c>
      <c r="T266" s="3" t="s">
        <v>1016</v>
      </c>
    </row>
    <row r="267" spans="3:20">
      <c r="D267" s="6"/>
      <c r="F267" s="2" t="s">
        <v>904</v>
      </c>
      <c r="G267" s="3" t="s">
        <v>981</v>
      </c>
      <c r="J267" s="2" t="s">
        <v>904</v>
      </c>
      <c r="K267" s="2" t="s">
        <v>975</v>
      </c>
      <c r="L267" s="3" t="s">
        <v>1002</v>
      </c>
      <c r="N267" s="3" t="s">
        <v>1531</v>
      </c>
      <c r="O267" s="3" t="s">
        <v>1470</v>
      </c>
      <c r="P267" s="3" t="s">
        <v>1944</v>
      </c>
      <c r="Q267" s="3" t="s">
        <v>2038</v>
      </c>
      <c r="R267" s="3" t="s">
        <v>2101</v>
      </c>
      <c r="S267" s="3" t="s">
        <v>2231</v>
      </c>
      <c r="T267" s="3" t="s">
        <v>912</v>
      </c>
    </row>
    <row r="268" spans="3:20">
      <c r="D268" s="6"/>
      <c r="F268" s="3" t="s">
        <v>976</v>
      </c>
      <c r="G268" s="3" t="s">
        <v>982</v>
      </c>
      <c r="J268" s="3" t="s">
        <v>976</v>
      </c>
      <c r="K268" s="2" t="s">
        <v>904</v>
      </c>
      <c r="L268" s="6"/>
      <c r="N268" s="3" t="s">
        <v>916</v>
      </c>
      <c r="O268" s="3" t="s">
        <v>1875</v>
      </c>
      <c r="P268" s="3" t="s">
        <v>1945</v>
      </c>
      <c r="Q268" s="3" t="s">
        <v>914</v>
      </c>
      <c r="R268" s="3" t="s">
        <v>2102</v>
      </c>
      <c r="S268" s="3" t="s">
        <v>916</v>
      </c>
      <c r="T268" s="3" t="s">
        <v>2301</v>
      </c>
    </row>
    <row r="269" spans="3:20">
      <c r="C269" s="3" t="s">
        <v>144</v>
      </c>
      <c r="D269" s="3" t="s">
        <v>144</v>
      </c>
      <c r="F269" s="3" t="s">
        <v>1109</v>
      </c>
      <c r="G269" s="3" t="s">
        <v>984</v>
      </c>
      <c r="J269" s="3" t="s">
        <v>1109</v>
      </c>
      <c r="K269" s="3" t="s">
        <v>976</v>
      </c>
      <c r="L269" s="3" t="s">
        <v>1003</v>
      </c>
      <c r="N269" s="3" t="s">
        <v>1532</v>
      </c>
      <c r="O269" s="3" t="s">
        <v>1876</v>
      </c>
      <c r="P269" s="3" t="s">
        <v>1946</v>
      </c>
      <c r="Q269" s="3" t="s">
        <v>1284</v>
      </c>
      <c r="R269" s="3" t="s">
        <v>1078</v>
      </c>
      <c r="S269" s="6"/>
      <c r="T269" s="3" t="s">
        <v>2302</v>
      </c>
    </row>
    <row r="270" spans="3:20">
      <c r="C270" s="3" t="s">
        <v>977</v>
      </c>
      <c r="D270" s="3" t="s">
        <v>1109</v>
      </c>
      <c r="F270" s="3" t="s">
        <v>1255</v>
      </c>
      <c r="G270" s="3" t="s">
        <v>981</v>
      </c>
      <c r="J270" s="3" t="s">
        <v>1255</v>
      </c>
      <c r="K270" s="3" t="s">
        <v>1109</v>
      </c>
      <c r="N270" s="4" t="s">
        <v>1533</v>
      </c>
      <c r="O270" s="3" t="s">
        <v>916</v>
      </c>
      <c r="P270" s="3" t="s">
        <v>1152</v>
      </c>
      <c r="Q270" s="3" t="s">
        <v>1014</v>
      </c>
      <c r="R270" s="3" t="s">
        <v>943</v>
      </c>
      <c r="S270" s="3" t="s">
        <v>1117</v>
      </c>
      <c r="T270" s="3" t="s">
        <v>2303</v>
      </c>
    </row>
    <row r="271" spans="3:20">
      <c r="C271" s="3" t="s">
        <v>978</v>
      </c>
      <c r="D271" s="3" t="s">
        <v>1110</v>
      </c>
      <c r="F271" s="3" t="s">
        <v>978</v>
      </c>
      <c r="G271" s="3" t="s">
        <v>982</v>
      </c>
      <c r="J271" s="3" t="s">
        <v>978</v>
      </c>
      <c r="K271" s="3" t="s">
        <v>1539</v>
      </c>
      <c r="N271" s="3" t="s">
        <v>1534</v>
      </c>
      <c r="O271" s="6"/>
      <c r="P271" s="3" t="s">
        <v>1947</v>
      </c>
      <c r="Q271" s="3" t="s">
        <v>1016</v>
      </c>
      <c r="R271" s="6"/>
      <c r="S271" s="3" t="s">
        <v>2232</v>
      </c>
      <c r="T271" s="3" t="s">
        <v>2304</v>
      </c>
    </row>
    <row r="272" spans="3:20">
      <c r="C272" s="3" t="s">
        <v>979</v>
      </c>
      <c r="D272" s="3" t="s">
        <v>978</v>
      </c>
      <c r="F272" s="3" t="s">
        <v>982</v>
      </c>
      <c r="G272" s="3" t="s">
        <v>1258</v>
      </c>
      <c r="J272" s="3" t="s">
        <v>979</v>
      </c>
      <c r="K272" s="3" t="s">
        <v>978</v>
      </c>
      <c r="N272" s="3" t="s">
        <v>1103</v>
      </c>
      <c r="O272" s="3" t="s">
        <v>912</v>
      </c>
      <c r="P272" s="3" t="s">
        <v>916</v>
      </c>
      <c r="Q272" s="3" t="s">
        <v>912</v>
      </c>
      <c r="R272" s="3" t="s">
        <v>1009</v>
      </c>
      <c r="S272" s="3" t="s">
        <v>2233</v>
      </c>
      <c r="T272" s="3" t="s">
        <v>916</v>
      </c>
    </row>
    <row r="273" spans="3:20">
      <c r="C273" s="3" t="s">
        <v>980</v>
      </c>
      <c r="D273" s="3" t="s">
        <v>979</v>
      </c>
      <c r="F273" s="3" t="s">
        <v>1111</v>
      </c>
      <c r="G273" s="3" t="s">
        <v>981</v>
      </c>
      <c r="J273" s="3" t="s">
        <v>1167</v>
      </c>
      <c r="K273" s="3" t="s">
        <v>979</v>
      </c>
      <c r="N273" s="3" t="s">
        <v>943</v>
      </c>
      <c r="O273" s="3" t="s">
        <v>1877</v>
      </c>
      <c r="P273" s="3" t="s">
        <v>1009</v>
      </c>
      <c r="Q273" s="3" t="s">
        <v>2039</v>
      </c>
      <c r="R273" s="3" t="s">
        <v>1010</v>
      </c>
      <c r="S273" s="3" t="s">
        <v>1163</v>
      </c>
      <c r="T273" s="3" t="s">
        <v>941</v>
      </c>
    </row>
    <row r="274" spans="3:20">
      <c r="C274" s="3" t="s">
        <v>981</v>
      </c>
      <c r="D274" s="3" t="s">
        <v>980</v>
      </c>
      <c r="F274" s="3" t="s">
        <v>981</v>
      </c>
      <c r="G274" s="3" t="s">
        <v>986</v>
      </c>
      <c r="J274" s="3" t="s">
        <v>981</v>
      </c>
      <c r="K274" s="3" t="s">
        <v>1167</v>
      </c>
      <c r="N274" s="3" t="s">
        <v>1535</v>
      </c>
      <c r="O274" s="3" t="s">
        <v>916</v>
      </c>
      <c r="P274" s="3" t="s">
        <v>1010</v>
      </c>
      <c r="Q274" s="3" t="s">
        <v>1470</v>
      </c>
      <c r="R274" s="3" t="s">
        <v>1816</v>
      </c>
      <c r="S274" s="3" t="s">
        <v>1016</v>
      </c>
      <c r="T274" s="3" t="s">
        <v>2305</v>
      </c>
    </row>
    <row r="275" spans="3:20">
      <c r="C275" s="3" t="s">
        <v>982</v>
      </c>
      <c r="D275" s="3" t="s">
        <v>981</v>
      </c>
      <c r="F275" s="3" t="s">
        <v>982</v>
      </c>
      <c r="G275" s="3" t="s">
        <v>981</v>
      </c>
      <c r="J275" s="3" t="s">
        <v>982</v>
      </c>
      <c r="K275" s="3" t="s">
        <v>981</v>
      </c>
      <c r="N275" s="3" t="s">
        <v>1536</v>
      </c>
      <c r="O275" s="3" t="s">
        <v>1532</v>
      </c>
      <c r="P275" s="3" t="s">
        <v>1816</v>
      </c>
      <c r="Q275" s="3" t="s">
        <v>2040</v>
      </c>
      <c r="R275" s="3" t="s">
        <v>2103</v>
      </c>
      <c r="S275" s="3" t="s">
        <v>912</v>
      </c>
      <c r="T275" s="3" t="s">
        <v>943</v>
      </c>
    </row>
    <row r="276" spans="3:20">
      <c r="C276" s="3" t="s">
        <v>983</v>
      </c>
      <c r="D276" s="3" t="s">
        <v>982</v>
      </c>
      <c r="F276" s="3" t="s">
        <v>1348</v>
      </c>
      <c r="G276" s="3" t="s">
        <v>987</v>
      </c>
      <c r="J276" s="3" t="s">
        <v>1111</v>
      </c>
      <c r="K276" s="3" t="s">
        <v>982</v>
      </c>
      <c r="N276" s="6"/>
      <c r="O276" s="4" t="s">
        <v>1533</v>
      </c>
      <c r="P276" s="3" t="s">
        <v>1948</v>
      </c>
      <c r="Q276" s="3" t="s">
        <v>916</v>
      </c>
      <c r="R276" s="3" t="s">
        <v>2104</v>
      </c>
      <c r="S276" s="3" t="s">
        <v>2234</v>
      </c>
      <c r="T276" s="6"/>
    </row>
    <row r="277" spans="3:20">
      <c r="C277" s="3" t="s">
        <v>981</v>
      </c>
      <c r="D277" s="3" t="s">
        <v>1111</v>
      </c>
      <c r="F277" s="3" t="s">
        <v>981</v>
      </c>
      <c r="G277" s="3" t="s">
        <v>988</v>
      </c>
      <c r="J277" s="3" t="s">
        <v>981</v>
      </c>
      <c r="K277" s="3" t="s">
        <v>1111</v>
      </c>
      <c r="N277" s="3" t="s">
        <v>1253</v>
      </c>
      <c r="O277" s="3" t="s">
        <v>1534</v>
      </c>
      <c r="P277" s="3" t="s">
        <v>1949</v>
      </c>
      <c r="Q277" s="3" t="s">
        <v>912</v>
      </c>
      <c r="R277" s="3" t="s">
        <v>914</v>
      </c>
      <c r="S277" s="3" t="s">
        <v>916</v>
      </c>
      <c r="T277" s="6"/>
    </row>
    <row r="278" spans="3:20">
      <c r="C278" s="3" t="s">
        <v>982</v>
      </c>
      <c r="D278" s="3" t="s">
        <v>981</v>
      </c>
      <c r="F278" s="3" t="s">
        <v>982</v>
      </c>
      <c r="G278" s="3" t="s">
        <v>144</v>
      </c>
      <c r="J278" s="3" t="s">
        <v>982</v>
      </c>
      <c r="K278" s="3" t="s">
        <v>981</v>
      </c>
      <c r="N278" s="3" t="s">
        <v>1537</v>
      </c>
      <c r="O278" s="3" t="s">
        <v>1103</v>
      </c>
      <c r="P278" s="3" t="s">
        <v>914</v>
      </c>
      <c r="Q278" s="3" t="s">
        <v>2041</v>
      </c>
      <c r="R278" s="3" t="s">
        <v>1284</v>
      </c>
      <c r="S278" s="3" t="s">
        <v>1117</v>
      </c>
      <c r="T278" s="3" t="s">
        <v>2306</v>
      </c>
    </row>
    <row r="279" spans="3:20">
      <c r="C279" s="3" t="s">
        <v>984</v>
      </c>
      <c r="D279" s="3" t="s">
        <v>982</v>
      </c>
      <c r="F279" s="3" t="s">
        <v>1349</v>
      </c>
      <c r="G279" s="2" t="s">
        <v>989</v>
      </c>
      <c r="J279" s="3" t="s">
        <v>1619</v>
      </c>
      <c r="K279" s="3" t="s">
        <v>982</v>
      </c>
      <c r="N279" s="3" t="s">
        <v>1538</v>
      </c>
      <c r="O279" s="3" t="s">
        <v>943</v>
      </c>
      <c r="P279" s="3" t="s">
        <v>1284</v>
      </c>
      <c r="Q279" s="3" t="s">
        <v>916</v>
      </c>
      <c r="R279" s="3" t="s">
        <v>1014</v>
      </c>
      <c r="S279" s="3" t="s">
        <v>2235</v>
      </c>
      <c r="T279" s="3" t="s">
        <v>912</v>
      </c>
    </row>
    <row r="280" spans="3:20">
      <c r="C280" s="3" t="s">
        <v>981</v>
      </c>
      <c r="D280" s="3" t="s">
        <v>1112</v>
      </c>
      <c r="F280" s="3" t="s">
        <v>981</v>
      </c>
      <c r="G280" s="3" t="s">
        <v>990</v>
      </c>
      <c r="J280" s="3" t="s">
        <v>981</v>
      </c>
      <c r="K280" s="3" t="s">
        <v>1713</v>
      </c>
      <c r="N280" s="2" t="s">
        <v>1108</v>
      </c>
      <c r="O280" s="3" t="s">
        <v>1535</v>
      </c>
      <c r="P280" s="3" t="s">
        <v>1014</v>
      </c>
      <c r="Q280" s="3" t="s">
        <v>1532</v>
      </c>
      <c r="R280" s="3" t="s">
        <v>1010</v>
      </c>
      <c r="S280" s="3" t="s">
        <v>2236</v>
      </c>
      <c r="T280" s="3" t="s">
        <v>2307</v>
      </c>
    </row>
    <row r="281" spans="3:20">
      <c r="C281" s="3" t="s">
        <v>982</v>
      </c>
      <c r="D281" s="3" t="s">
        <v>981</v>
      </c>
      <c r="F281" s="3" t="s">
        <v>982</v>
      </c>
      <c r="G281" s="2" t="s">
        <v>991</v>
      </c>
      <c r="J281" s="3" t="s">
        <v>982</v>
      </c>
      <c r="K281" s="3" t="s">
        <v>981</v>
      </c>
      <c r="N281" s="2" t="s">
        <v>903</v>
      </c>
      <c r="O281" s="3" t="s">
        <v>1536</v>
      </c>
      <c r="P281" s="3" t="s">
        <v>1010</v>
      </c>
      <c r="Q281" s="4" t="s">
        <v>1533</v>
      </c>
      <c r="R281" s="3" t="s">
        <v>1816</v>
      </c>
      <c r="S281" s="3" t="s">
        <v>1163</v>
      </c>
      <c r="T281" s="3" t="s">
        <v>2308</v>
      </c>
    </row>
    <row r="282" spans="3:20">
      <c r="C282" s="3" t="s">
        <v>985</v>
      </c>
      <c r="D282" s="3" t="s">
        <v>982</v>
      </c>
      <c r="F282" s="3" t="s">
        <v>984</v>
      </c>
      <c r="G282" s="3" t="s">
        <v>1171</v>
      </c>
      <c r="J282" s="3" t="s">
        <v>1620</v>
      </c>
      <c r="K282" s="3" t="s">
        <v>982</v>
      </c>
      <c r="N282" s="2" t="s">
        <v>904</v>
      </c>
      <c r="O282" s="6"/>
      <c r="P282" s="3" t="s">
        <v>1816</v>
      </c>
      <c r="Q282" s="3" t="s">
        <v>1534</v>
      </c>
      <c r="R282" s="3" t="s">
        <v>2105</v>
      </c>
      <c r="S282" s="3" t="s">
        <v>1016</v>
      </c>
      <c r="T282" s="3" t="s">
        <v>916</v>
      </c>
    </row>
    <row r="283" spans="3:20">
      <c r="C283" s="3" t="s">
        <v>981</v>
      </c>
      <c r="D283" s="3" t="s">
        <v>984</v>
      </c>
      <c r="F283" s="3" t="s">
        <v>981</v>
      </c>
      <c r="G283" s="2" t="s">
        <v>993</v>
      </c>
      <c r="J283" s="3" t="s">
        <v>981</v>
      </c>
      <c r="K283" s="3" t="s">
        <v>1714</v>
      </c>
      <c r="N283" s="3" t="s">
        <v>976</v>
      </c>
      <c r="O283" s="3" t="s">
        <v>1253</v>
      </c>
      <c r="P283" s="3" t="s">
        <v>1950</v>
      </c>
      <c r="Q283" s="3" t="s">
        <v>1103</v>
      </c>
      <c r="R283" s="3" t="s">
        <v>2106</v>
      </c>
      <c r="S283" s="6"/>
      <c r="T283" s="3" t="s">
        <v>941</v>
      </c>
    </row>
    <row r="284" spans="3:20">
      <c r="C284" s="3" t="s">
        <v>986</v>
      </c>
      <c r="D284" s="3" t="s">
        <v>981</v>
      </c>
      <c r="F284" s="3" t="s">
        <v>982</v>
      </c>
      <c r="G284" s="3" t="s">
        <v>994</v>
      </c>
      <c r="J284" s="3" t="s">
        <v>982</v>
      </c>
      <c r="K284" s="3" t="s">
        <v>981</v>
      </c>
      <c r="N284" s="3" t="s">
        <v>1109</v>
      </c>
      <c r="O284" s="3" t="s">
        <v>1537</v>
      </c>
      <c r="P284" s="3" t="s">
        <v>1951</v>
      </c>
      <c r="Q284" s="3" t="s">
        <v>943</v>
      </c>
      <c r="R284" s="3" t="s">
        <v>914</v>
      </c>
      <c r="S284" s="3" t="s">
        <v>1117</v>
      </c>
      <c r="T284" s="3" t="s">
        <v>2309</v>
      </c>
    </row>
    <row r="285" spans="3:20">
      <c r="C285" s="3" t="s">
        <v>981</v>
      </c>
      <c r="D285" s="3" t="s">
        <v>982</v>
      </c>
      <c r="F285" s="3" t="s">
        <v>1350</v>
      </c>
      <c r="G285" s="2" t="s">
        <v>995</v>
      </c>
      <c r="J285" s="3" t="s">
        <v>1458</v>
      </c>
      <c r="K285" s="3" t="s">
        <v>982</v>
      </c>
      <c r="N285" s="3" t="s">
        <v>1539</v>
      </c>
      <c r="O285" s="3" t="s">
        <v>1538</v>
      </c>
      <c r="P285" s="3" t="s">
        <v>914</v>
      </c>
      <c r="Q285" s="3" t="s">
        <v>1535</v>
      </c>
      <c r="R285" s="3" t="s">
        <v>1284</v>
      </c>
      <c r="S285" s="3" t="s">
        <v>2237</v>
      </c>
      <c r="T285" s="3" t="s">
        <v>2310</v>
      </c>
    </row>
    <row r="286" spans="3:20">
      <c r="C286" s="3" t="s">
        <v>987</v>
      </c>
      <c r="D286" s="3" t="s">
        <v>1113</v>
      </c>
      <c r="F286" s="3" t="s">
        <v>981</v>
      </c>
      <c r="G286" s="3" t="s">
        <v>996</v>
      </c>
      <c r="J286" s="3" t="s">
        <v>981</v>
      </c>
      <c r="K286" s="3" t="s">
        <v>984</v>
      </c>
      <c r="N286" s="3" t="s">
        <v>978</v>
      </c>
      <c r="O286" s="6"/>
      <c r="P286" s="3" t="s">
        <v>1284</v>
      </c>
      <c r="Q286" s="3" t="s">
        <v>1536</v>
      </c>
      <c r="R286" s="3" t="s">
        <v>1014</v>
      </c>
      <c r="S286" s="6"/>
      <c r="T286" s="3" t="s">
        <v>1078</v>
      </c>
    </row>
    <row r="287" spans="3:20">
      <c r="C287" s="3" t="s">
        <v>988</v>
      </c>
      <c r="D287" s="3" t="s">
        <v>981</v>
      </c>
      <c r="F287" s="3" t="s">
        <v>986</v>
      </c>
      <c r="G287" s="3" t="s">
        <v>997</v>
      </c>
      <c r="J287" s="3" t="s">
        <v>982</v>
      </c>
      <c r="K287" s="3" t="s">
        <v>981</v>
      </c>
      <c r="N287" s="3" t="s">
        <v>979</v>
      </c>
      <c r="O287" s="2" t="s">
        <v>1108</v>
      </c>
      <c r="P287" s="6"/>
      <c r="Q287" s="6"/>
      <c r="R287" s="3" t="s">
        <v>1016</v>
      </c>
      <c r="S287" s="3" t="s">
        <v>1016</v>
      </c>
      <c r="T287" s="3" t="s">
        <v>943</v>
      </c>
    </row>
    <row r="288" spans="3:20">
      <c r="C288" s="6"/>
      <c r="D288" s="3" t="s">
        <v>986</v>
      </c>
      <c r="F288" s="3" t="s">
        <v>981</v>
      </c>
      <c r="G288" s="3" t="s">
        <v>998</v>
      </c>
      <c r="J288" s="3" t="s">
        <v>1621</v>
      </c>
      <c r="K288" s="3" t="s">
        <v>982</v>
      </c>
      <c r="N288" s="3" t="s">
        <v>1167</v>
      </c>
      <c r="O288" s="2" t="s">
        <v>903</v>
      </c>
      <c r="P288" s="3" t="s">
        <v>1014</v>
      </c>
      <c r="Q288" s="3" t="s">
        <v>1253</v>
      </c>
      <c r="R288" s="6"/>
      <c r="S288" s="3" t="s">
        <v>912</v>
      </c>
      <c r="T288" s="3" t="s">
        <v>912</v>
      </c>
    </row>
    <row r="289" spans="3:20">
      <c r="C289" s="2" t="s">
        <v>989</v>
      </c>
      <c r="D289" s="3" t="s">
        <v>981</v>
      </c>
      <c r="F289" s="3" t="s">
        <v>987</v>
      </c>
      <c r="G289" s="3" t="s">
        <v>999</v>
      </c>
      <c r="J289" s="3" t="s">
        <v>981</v>
      </c>
      <c r="K289" s="3" t="s">
        <v>1715</v>
      </c>
      <c r="N289" s="3" t="s">
        <v>981</v>
      </c>
      <c r="O289" s="2" t="s">
        <v>904</v>
      </c>
      <c r="P289" s="3" t="s">
        <v>1016</v>
      </c>
      <c r="Q289" s="3" t="s">
        <v>2042</v>
      </c>
      <c r="R289" s="3" t="s">
        <v>1009</v>
      </c>
      <c r="S289" s="3" t="s">
        <v>2238</v>
      </c>
      <c r="T289" s="3" t="s">
        <v>2311</v>
      </c>
    </row>
    <row r="290" spans="3:20">
      <c r="C290" s="3" t="s">
        <v>990</v>
      </c>
      <c r="D290" s="3" t="s">
        <v>987</v>
      </c>
      <c r="F290" s="3" t="s">
        <v>988</v>
      </c>
      <c r="G290" s="3" t="s">
        <v>1000</v>
      </c>
      <c r="J290" s="3" t="s">
        <v>1543</v>
      </c>
      <c r="K290" s="3" t="s">
        <v>981</v>
      </c>
      <c r="N290" s="3" t="s">
        <v>982</v>
      </c>
      <c r="O290" s="3" t="s">
        <v>976</v>
      </c>
      <c r="P290" s="3" t="s">
        <v>941</v>
      </c>
      <c r="Q290" s="3" t="s">
        <v>916</v>
      </c>
      <c r="R290" s="3" t="s">
        <v>1010</v>
      </c>
      <c r="S290" s="3" t="s">
        <v>2239</v>
      </c>
      <c r="T290" s="3" t="s">
        <v>2312</v>
      </c>
    </row>
    <row r="291" spans="3:20">
      <c r="C291" s="6"/>
      <c r="D291" s="3" t="s">
        <v>988</v>
      </c>
      <c r="F291" s="3" t="s">
        <v>144</v>
      </c>
      <c r="G291" s="3" t="s">
        <v>1001</v>
      </c>
      <c r="J291" s="3" t="s">
        <v>981</v>
      </c>
      <c r="K291" s="3" t="s">
        <v>1543</v>
      </c>
      <c r="N291" s="3" t="s">
        <v>1111</v>
      </c>
      <c r="O291" s="3" t="s">
        <v>907</v>
      </c>
      <c r="P291" s="3" t="s">
        <v>1952</v>
      </c>
      <c r="Q291" s="3" t="s">
        <v>1538</v>
      </c>
      <c r="R291" s="3" t="s">
        <v>1042</v>
      </c>
      <c r="S291" s="3" t="s">
        <v>916</v>
      </c>
      <c r="T291" s="3" t="s">
        <v>916</v>
      </c>
    </row>
    <row r="292" spans="3:20">
      <c r="C292" s="2" t="s">
        <v>991</v>
      </c>
      <c r="D292" s="2" t="s">
        <v>989</v>
      </c>
      <c r="F292" s="2" t="s">
        <v>989</v>
      </c>
      <c r="G292" s="3" t="s">
        <v>1002</v>
      </c>
      <c r="J292" s="3" t="s">
        <v>987</v>
      </c>
      <c r="K292" s="3" t="s">
        <v>981</v>
      </c>
      <c r="N292" s="3" t="s">
        <v>981</v>
      </c>
      <c r="O292" s="6"/>
      <c r="P292" s="3" t="s">
        <v>943</v>
      </c>
      <c r="Q292" s="2" t="s">
        <v>1108</v>
      </c>
      <c r="R292" s="3" t="s">
        <v>2107</v>
      </c>
      <c r="S292" s="6"/>
      <c r="T292" s="3" t="s">
        <v>2131</v>
      </c>
    </row>
    <row r="293" spans="3:20">
      <c r="C293" s="3" t="s">
        <v>992</v>
      </c>
      <c r="D293" s="6"/>
      <c r="F293" s="3" t="s">
        <v>990</v>
      </c>
      <c r="G293" s="6"/>
      <c r="J293" s="3" t="s">
        <v>988</v>
      </c>
      <c r="K293" s="3" t="s">
        <v>987</v>
      </c>
      <c r="N293" s="3" t="s">
        <v>982</v>
      </c>
      <c r="O293" s="3" t="s">
        <v>976</v>
      </c>
      <c r="P293" s="3" t="s">
        <v>1953</v>
      </c>
      <c r="Q293" s="2" t="s">
        <v>903</v>
      </c>
      <c r="R293" s="3" t="s">
        <v>1015</v>
      </c>
      <c r="S293" s="3" t="s">
        <v>1117</v>
      </c>
      <c r="T293" s="3" t="s">
        <v>1052</v>
      </c>
    </row>
    <row r="294" spans="3:20">
      <c r="C294" s="6"/>
      <c r="D294" s="3" t="s">
        <v>990</v>
      </c>
      <c r="F294" s="2" t="s">
        <v>991</v>
      </c>
      <c r="G294" s="3" t="s">
        <v>1003</v>
      </c>
      <c r="J294" s="2" t="s">
        <v>989</v>
      </c>
      <c r="K294" s="3" t="s">
        <v>988</v>
      </c>
      <c r="N294" s="3" t="s">
        <v>1540</v>
      </c>
      <c r="O294" s="3" t="s">
        <v>1109</v>
      </c>
      <c r="P294" s="3" t="s">
        <v>943</v>
      </c>
      <c r="Q294" s="2" t="s">
        <v>904</v>
      </c>
      <c r="R294" s="3" t="s">
        <v>1014</v>
      </c>
      <c r="S294" s="3" t="s">
        <v>2240</v>
      </c>
      <c r="T294" s="3" t="s">
        <v>2132</v>
      </c>
    </row>
    <row r="295" spans="3:20">
      <c r="C295" s="2" t="s">
        <v>993</v>
      </c>
      <c r="D295" s="6"/>
      <c r="F295" s="3" t="s">
        <v>1171</v>
      </c>
      <c r="G295" s="2" t="s">
        <v>903</v>
      </c>
      <c r="J295" s="3" t="s">
        <v>990</v>
      </c>
      <c r="K295" s="2" t="s">
        <v>989</v>
      </c>
      <c r="N295" s="3" t="s">
        <v>981</v>
      </c>
      <c r="O295" s="3" t="s">
        <v>1539</v>
      </c>
      <c r="P295" s="3" t="s">
        <v>912</v>
      </c>
      <c r="Q295" s="3" t="s">
        <v>976</v>
      </c>
      <c r="R295" s="3" t="s">
        <v>1010</v>
      </c>
      <c r="S295" s="3" t="s">
        <v>2241</v>
      </c>
      <c r="T295" s="3" t="s">
        <v>2133</v>
      </c>
    </row>
    <row r="296" spans="3:20">
      <c r="C296" s="3" t="s">
        <v>994</v>
      </c>
      <c r="D296" s="2" t="s">
        <v>991</v>
      </c>
      <c r="F296" s="2" t="s">
        <v>993</v>
      </c>
      <c r="G296" s="2" t="s">
        <v>904</v>
      </c>
      <c r="J296" s="2" t="s">
        <v>991</v>
      </c>
      <c r="K296" s="3" t="s">
        <v>990</v>
      </c>
      <c r="N296" s="3" t="s">
        <v>982</v>
      </c>
      <c r="O296" s="3" t="s">
        <v>978</v>
      </c>
      <c r="P296" s="3" t="s">
        <v>1954</v>
      </c>
      <c r="Q296" s="3" t="s">
        <v>1109</v>
      </c>
      <c r="R296" s="3" t="s">
        <v>1816</v>
      </c>
      <c r="S296" s="3" t="s">
        <v>1664</v>
      </c>
      <c r="T296" s="3" t="s">
        <v>2313</v>
      </c>
    </row>
    <row r="297" spans="3:20">
      <c r="C297" s="6"/>
      <c r="D297" s="3" t="s">
        <v>992</v>
      </c>
      <c r="F297" s="3" t="s">
        <v>994</v>
      </c>
      <c r="G297" s="3" t="s">
        <v>976</v>
      </c>
      <c r="J297" s="3" t="s">
        <v>1171</v>
      </c>
      <c r="K297" s="2" t="s">
        <v>991</v>
      </c>
      <c r="N297" s="3" t="s">
        <v>1541</v>
      </c>
      <c r="O297" s="3" t="s">
        <v>979</v>
      </c>
      <c r="P297" s="3" t="s">
        <v>916</v>
      </c>
      <c r="Q297" s="3" t="s">
        <v>1539</v>
      </c>
      <c r="R297" s="3" t="s">
        <v>2108</v>
      </c>
      <c r="S297" s="3" t="s">
        <v>1016</v>
      </c>
      <c r="T297" s="3" t="s">
        <v>2314</v>
      </c>
    </row>
    <row r="298" spans="3:20">
      <c r="C298" s="2" t="s">
        <v>995</v>
      </c>
      <c r="D298" s="6"/>
      <c r="F298" s="2" t="s">
        <v>995</v>
      </c>
      <c r="G298" s="3" t="s">
        <v>1109</v>
      </c>
      <c r="J298" s="2" t="s">
        <v>993</v>
      </c>
      <c r="K298" s="3" t="s">
        <v>1171</v>
      </c>
      <c r="N298" s="3" t="s">
        <v>981</v>
      </c>
      <c r="O298" s="3" t="s">
        <v>1167</v>
      </c>
      <c r="P298" s="3" t="s">
        <v>1532</v>
      </c>
      <c r="Q298" s="3" t="s">
        <v>978</v>
      </c>
      <c r="R298" s="3" t="s">
        <v>2109</v>
      </c>
      <c r="S298" s="3" t="s">
        <v>912</v>
      </c>
      <c r="T298" s="3" t="s">
        <v>1057</v>
      </c>
    </row>
    <row r="299" spans="3:20">
      <c r="C299" s="3" t="s">
        <v>996</v>
      </c>
      <c r="D299" s="2" t="s">
        <v>993</v>
      </c>
      <c r="F299" s="3" t="s">
        <v>996</v>
      </c>
      <c r="G299" s="3" t="s">
        <v>1255</v>
      </c>
      <c r="J299" s="3" t="s">
        <v>994</v>
      </c>
      <c r="K299" s="2" t="s">
        <v>993</v>
      </c>
      <c r="N299" s="3" t="s">
        <v>982</v>
      </c>
      <c r="O299" s="3" t="s">
        <v>981</v>
      </c>
      <c r="P299" s="4" t="s">
        <v>1533</v>
      </c>
      <c r="Q299" s="3" t="s">
        <v>979</v>
      </c>
      <c r="R299" s="3" t="s">
        <v>914</v>
      </c>
      <c r="S299" s="3" t="s">
        <v>2242</v>
      </c>
      <c r="T299" s="3" t="s">
        <v>1058</v>
      </c>
    </row>
    <row r="300" spans="3:20">
      <c r="C300" s="6"/>
      <c r="D300" s="3" t="s">
        <v>994</v>
      </c>
      <c r="F300" s="3" t="s">
        <v>997</v>
      </c>
      <c r="G300" s="3" t="s">
        <v>978</v>
      </c>
      <c r="J300" s="2" t="s">
        <v>995</v>
      </c>
      <c r="K300" s="3" t="s">
        <v>994</v>
      </c>
      <c r="N300" s="3" t="s">
        <v>984</v>
      </c>
      <c r="O300" s="3" t="s">
        <v>982</v>
      </c>
      <c r="P300" s="3" t="s">
        <v>1534</v>
      </c>
      <c r="Q300" s="3" t="s">
        <v>1167</v>
      </c>
      <c r="R300" s="3" t="s">
        <v>1284</v>
      </c>
      <c r="S300" s="3" t="s">
        <v>916</v>
      </c>
      <c r="T300" s="3" t="s">
        <v>2315</v>
      </c>
    </row>
    <row r="301" spans="3:20">
      <c r="C301" s="3" t="s">
        <v>997</v>
      </c>
      <c r="D301" s="6"/>
      <c r="F301" s="3" t="s">
        <v>998</v>
      </c>
      <c r="G301" s="3" t="s">
        <v>979</v>
      </c>
      <c r="J301" s="3" t="s">
        <v>996</v>
      </c>
      <c r="K301" s="2" t="s">
        <v>995</v>
      </c>
      <c r="N301" s="3" t="s">
        <v>981</v>
      </c>
      <c r="O301" s="3" t="s">
        <v>1111</v>
      </c>
      <c r="P301" s="3" t="s">
        <v>1103</v>
      </c>
      <c r="Q301" s="3" t="s">
        <v>981</v>
      </c>
      <c r="R301" s="6"/>
      <c r="S301" s="3" t="s">
        <v>1532</v>
      </c>
      <c r="T301" s="4" t="s">
        <v>1060</v>
      </c>
    </row>
    <row r="302" spans="3:20">
      <c r="C302" s="3" t="s">
        <v>998</v>
      </c>
      <c r="D302" s="2" t="s">
        <v>995</v>
      </c>
      <c r="F302" s="3" t="s">
        <v>999</v>
      </c>
      <c r="G302" s="3" t="s">
        <v>1167</v>
      </c>
      <c r="J302" s="3" t="s">
        <v>997</v>
      </c>
      <c r="K302" s="3" t="s">
        <v>996</v>
      </c>
      <c r="N302" s="3" t="s">
        <v>982</v>
      </c>
      <c r="O302" s="3" t="s">
        <v>981</v>
      </c>
      <c r="P302" s="3" t="s">
        <v>943</v>
      </c>
      <c r="Q302" s="3" t="s">
        <v>982</v>
      </c>
      <c r="R302" s="3" t="s">
        <v>1014</v>
      </c>
      <c r="S302" s="4" t="s">
        <v>1533</v>
      </c>
      <c r="T302" s="3" t="s">
        <v>1061</v>
      </c>
    </row>
    <row r="303" spans="3:20">
      <c r="C303" s="3" t="s">
        <v>999</v>
      </c>
      <c r="D303" s="3" t="s">
        <v>996</v>
      </c>
      <c r="F303" s="3" t="s">
        <v>1000</v>
      </c>
      <c r="G303" s="3" t="s">
        <v>981</v>
      </c>
      <c r="J303" s="3" t="s">
        <v>998</v>
      </c>
      <c r="K303" s="3" t="s">
        <v>997</v>
      </c>
      <c r="N303" s="3" t="s">
        <v>1542</v>
      </c>
      <c r="O303" s="3" t="s">
        <v>982</v>
      </c>
      <c r="P303" s="3" t="s">
        <v>1535</v>
      </c>
      <c r="Q303" s="3" t="s">
        <v>1111</v>
      </c>
      <c r="R303" s="3" t="s">
        <v>1016</v>
      </c>
      <c r="S303" s="3" t="s">
        <v>1534</v>
      </c>
      <c r="T303" s="3" t="s">
        <v>2316</v>
      </c>
    </row>
    <row r="304" spans="3:20">
      <c r="C304" s="6"/>
      <c r="D304" s="6"/>
      <c r="F304" s="3" t="s">
        <v>1001</v>
      </c>
      <c r="G304" s="3" t="s">
        <v>982</v>
      </c>
      <c r="J304" s="3" t="s">
        <v>999</v>
      </c>
      <c r="K304" s="3" t="s">
        <v>998</v>
      </c>
      <c r="N304" s="3" t="s">
        <v>981</v>
      </c>
      <c r="O304" s="3" t="s">
        <v>1878</v>
      </c>
      <c r="P304" s="3" t="s">
        <v>1536</v>
      </c>
      <c r="Q304" s="3" t="s">
        <v>981</v>
      </c>
      <c r="R304" s="6"/>
      <c r="S304" s="3" t="s">
        <v>1103</v>
      </c>
      <c r="T304" s="3" t="s">
        <v>1063</v>
      </c>
    </row>
    <row r="305" spans="3:20">
      <c r="C305" s="3" t="s">
        <v>1000</v>
      </c>
      <c r="D305" s="3" t="s">
        <v>997</v>
      </c>
      <c r="F305" s="6"/>
      <c r="G305" s="3" t="s">
        <v>1111</v>
      </c>
      <c r="J305" s="3" t="s">
        <v>1000</v>
      </c>
      <c r="K305" s="3" t="s">
        <v>999</v>
      </c>
      <c r="N305" s="3" t="s">
        <v>1543</v>
      </c>
      <c r="O305" s="3" t="s">
        <v>981</v>
      </c>
      <c r="P305" s="6"/>
      <c r="Q305" s="3" t="s">
        <v>982</v>
      </c>
      <c r="R305" s="3" t="s">
        <v>912</v>
      </c>
      <c r="S305" s="3" t="s">
        <v>943</v>
      </c>
      <c r="T305" s="3" t="s">
        <v>1064</v>
      </c>
    </row>
    <row r="306" spans="3:20">
      <c r="C306" s="6"/>
      <c r="D306" s="3" t="s">
        <v>998</v>
      </c>
      <c r="F306" s="3" t="s">
        <v>1002</v>
      </c>
      <c r="G306" s="3" t="s">
        <v>981</v>
      </c>
      <c r="J306" s="3" t="s">
        <v>1001</v>
      </c>
      <c r="K306" s="3" t="s">
        <v>1000</v>
      </c>
      <c r="N306" s="3" t="s">
        <v>981</v>
      </c>
      <c r="O306" s="3" t="s">
        <v>982</v>
      </c>
      <c r="P306" s="3" t="s">
        <v>1253</v>
      </c>
      <c r="Q306" s="3" t="s">
        <v>2043</v>
      </c>
      <c r="R306" s="3" t="s">
        <v>2110</v>
      </c>
      <c r="S306" s="3" t="s">
        <v>1535</v>
      </c>
      <c r="T306" s="3" t="s">
        <v>915</v>
      </c>
    </row>
    <row r="307" spans="3:20">
      <c r="C307" s="3" t="s">
        <v>1001</v>
      </c>
      <c r="D307" s="3" t="s">
        <v>999</v>
      </c>
      <c r="F307" s="6"/>
      <c r="G307" s="3" t="s">
        <v>982</v>
      </c>
      <c r="J307" s="3" t="s">
        <v>1002</v>
      </c>
      <c r="K307" s="3" t="s">
        <v>1001</v>
      </c>
      <c r="N307" s="3" t="s">
        <v>987</v>
      </c>
      <c r="O307" s="3" t="s">
        <v>1879</v>
      </c>
      <c r="P307" s="3" t="s">
        <v>1537</v>
      </c>
      <c r="Q307" s="3" t="s">
        <v>981</v>
      </c>
      <c r="R307" s="3" t="s">
        <v>2111</v>
      </c>
      <c r="S307" s="3" t="s">
        <v>1536</v>
      </c>
      <c r="T307" s="3" t="s">
        <v>2317</v>
      </c>
    </row>
    <row r="308" spans="3:20">
      <c r="C308" s="6"/>
      <c r="D308" s="6"/>
      <c r="F308" s="3" t="s">
        <v>1003</v>
      </c>
      <c r="G308" s="3" t="s">
        <v>1256</v>
      </c>
      <c r="J308" s="6"/>
      <c r="K308" s="3" t="s">
        <v>1002</v>
      </c>
      <c r="N308" s="3" t="s">
        <v>988</v>
      </c>
      <c r="O308" s="3" t="s">
        <v>981</v>
      </c>
      <c r="P308" s="3" t="s">
        <v>1538</v>
      </c>
      <c r="Q308" s="3" t="s">
        <v>982</v>
      </c>
      <c r="R308" s="3" t="s">
        <v>2112</v>
      </c>
      <c r="S308" s="6"/>
      <c r="T308" s="4" t="s">
        <v>1066</v>
      </c>
    </row>
    <row r="309" spans="3:20">
      <c r="C309" s="3" t="s">
        <v>1002</v>
      </c>
      <c r="D309" s="3" t="s">
        <v>1000</v>
      </c>
      <c r="G309" s="3" t="s">
        <v>981</v>
      </c>
      <c r="J309" s="3" t="s">
        <v>1003</v>
      </c>
      <c r="K309" s="6"/>
      <c r="N309" s="2" t="s">
        <v>989</v>
      </c>
      <c r="O309" s="3" t="s">
        <v>982</v>
      </c>
      <c r="P309" s="2" t="s">
        <v>1108</v>
      </c>
      <c r="Q309" s="3" t="s">
        <v>2044</v>
      </c>
      <c r="R309" s="3" t="s">
        <v>2113</v>
      </c>
      <c r="S309" s="3" t="s">
        <v>1253</v>
      </c>
      <c r="T309" s="3" t="s">
        <v>1061</v>
      </c>
    </row>
    <row r="310" spans="3:20">
      <c r="C310" s="6"/>
      <c r="D310" s="6"/>
      <c r="G310" s="3" t="s">
        <v>982</v>
      </c>
      <c r="K310" s="3" t="s">
        <v>1003</v>
      </c>
      <c r="N310" s="3" t="s">
        <v>990</v>
      </c>
      <c r="O310" s="3" t="s">
        <v>1880</v>
      </c>
      <c r="P310" s="2" t="s">
        <v>903</v>
      </c>
      <c r="Q310" s="3" t="s">
        <v>981</v>
      </c>
      <c r="R310" s="3" t="s">
        <v>2114</v>
      </c>
      <c r="S310" s="3" t="s">
        <v>1537</v>
      </c>
      <c r="T310" s="3" t="s">
        <v>2318</v>
      </c>
    </row>
    <row r="311" spans="3:20">
      <c r="C311" s="3" t="s">
        <v>1003</v>
      </c>
      <c r="D311" s="3" t="s">
        <v>1001</v>
      </c>
      <c r="G311" s="3" t="s">
        <v>1257</v>
      </c>
      <c r="K311" s="3" t="s">
        <v>1712</v>
      </c>
      <c r="N311" s="2" t="s">
        <v>991</v>
      </c>
      <c r="O311" s="3" t="s">
        <v>981</v>
      </c>
      <c r="P311" s="2" t="s">
        <v>904</v>
      </c>
      <c r="Q311" s="3" t="s">
        <v>982</v>
      </c>
      <c r="R311" s="3" t="s">
        <v>916</v>
      </c>
      <c r="S311" s="3" t="s">
        <v>1538</v>
      </c>
      <c r="T311" s="3" t="s">
        <v>1067</v>
      </c>
    </row>
    <row r="312" spans="3:20">
      <c r="D312" s="3" t="s">
        <v>1002</v>
      </c>
      <c r="G312" s="3" t="s">
        <v>981</v>
      </c>
      <c r="K312" s="2" t="s">
        <v>974</v>
      </c>
      <c r="N312" s="3" t="s">
        <v>1171</v>
      </c>
      <c r="O312" s="3" t="s">
        <v>982</v>
      </c>
      <c r="P312" s="3" t="s">
        <v>976</v>
      </c>
      <c r="Q312" s="3" t="s">
        <v>984</v>
      </c>
      <c r="R312" s="3" t="s">
        <v>941</v>
      </c>
      <c r="S312" s="2" t="s">
        <v>1108</v>
      </c>
      <c r="T312" s="3" t="s">
        <v>1064</v>
      </c>
    </row>
    <row r="313" spans="3:20">
      <c r="D313" s="6"/>
      <c r="G313" s="3" t="s">
        <v>982</v>
      </c>
      <c r="K313" s="2" t="s">
        <v>975</v>
      </c>
      <c r="N313" s="2" t="s">
        <v>993</v>
      </c>
      <c r="O313" s="3" t="s">
        <v>1881</v>
      </c>
      <c r="P313" s="3" t="s">
        <v>1109</v>
      </c>
      <c r="Q313" s="3" t="s">
        <v>981</v>
      </c>
      <c r="R313" s="3" t="s">
        <v>2115</v>
      </c>
      <c r="S313" s="2" t="s">
        <v>903</v>
      </c>
      <c r="T313" s="3" t="s">
        <v>915</v>
      </c>
    </row>
    <row r="314" spans="3:20">
      <c r="D314" s="3" t="s">
        <v>1003</v>
      </c>
      <c r="G314" s="3" t="s">
        <v>984</v>
      </c>
      <c r="K314" s="2" t="s">
        <v>904</v>
      </c>
      <c r="N314" s="3" t="s">
        <v>994</v>
      </c>
      <c r="O314" s="3" t="s">
        <v>981</v>
      </c>
      <c r="P314" s="3" t="s">
        <v>1539</v>
      </c>
      <c r="Q314" s="3" t="s">
        <v>982</v>
      </c>
      <c r="R314" s="3" t="s">
        <v>2116</v>
      </c>
      <c r="S314" s="2" t="s">
        <v>904</v>
      </c>
      <c r="T314" s="3" t="s">
        <v>2319</v>
      </c>
    </row>
    <row r="315" spans="3:20">
      <c r="G315" s="3" t="s">
        <v>981</v>
      </c>
      <c r="K315" s="3" t="s">
        <v>976</v>
      </c>
      <c r="N315" s="2" t="s">
        <v>995</v>
      </c>
      <c r="O315" s="3" t="s">
        <v>1543</v>
      </c>
      <c r="P315" s="3" t="s">
        <v>978</v>
      </c>
      <c r="Q315" s="3" t="s">
        <v>2045</v>
      </c>
      <c r="R315" s="3" t="s">
        <v>1078</v>
      </c>
      <c r="S315" s="3" t="s">
        <v>976</v>
      </c>
      <c r="T315" s="4" t="s">
        <v>1066</v>
      </c>
    </row>
    <row r="316" spans="3:20">
      <c r="G316" s="3" t="s">
        <v>982</v>
      </c>
      <c r="K316" s="3" t="s">
        <v>1109</v>
      </c>
      <c r="N316" s="3" t="s">
        <v>996</v>
      </c>
      <c r="O316" s="3" t="s">
        <v>981</v>
      </c>
      <c r="P316" s="3" t="s">
        <v>979</v>
      </c>
      <c r="Q316" s="3" t="s">
        <v>981</v>
      </c>
      <c r="R316" s="3" t="s">
        <v>943</v>
      </c>
      <c r="S316" s="3" t="s">
        <v>1109</v>
      </c>
      <c r="T316" s="3" t="s">
        <v>1061</v>
      </c>
    </row>
    <row r="317" spans="3:20">
      <c r="G317" s="3" t="s">
        <v>1258</v>
      </c>
      <c r="K317" s="3" t="s">
        <v>1539</v>
      </c>
      <c r="N317" s="3" t="s">
        <v>997</v>
      </c>
      <c r="O317" s="3" t="s">
        <v>987</v>
      </c>
      <c r="P317" s="3" t="s">
        <v>1167</v>
      </c>
      <c r="Q317" s="3" t="s">
        <v>1543</v>
      </c>
      <c r="R317" s="3" t="s">
        <v>912</v>
      </c>
      <c r="S317" s="3" t="s">
        <v>1539</v>
      </c>
      <c r="T317" s="3" t="s">
        <v>2320</v>
      </c>
    </row>
    <row r="318" spans="3:20">
      <c r="G318" s="3" t="s">
        <v>981</v>
      </c>
      <c r="K318" s="3" t="s">
        <v>978</v>
      </c>
      <c r="N318" s="3" t="s">
        <v>998</v>
      </c>
      <c r="O318" s="3" t="s">
        <v>988</v>
      </c>
      <c r="P318" s="3" t="s">
        <v>981</v>
      </c>
      <c r="Q318" s="3" t="s">
        <v>981</v>
      </c>
      <c r="R318" s="6"/>
      <c r="S318" s="3" t="s">
        <v>978</v>
      </c>
      <c r="T318" s="3" t="s">
        <v>1069</v>
      </c>
    </row>
    <row r="319" spans="3:20">
      <c r="G319" s="3" t="s">
        <v>986</v>
      </c>
      <c r="K319" s="3" t="s">
        <v>979</v>
      </c>
      <c r="N319" s="3" t="s">
        <v>999</v>
      </c>
      <c r="O319" s="2" t="s">
        <v>989</v>
      </c>
      <c r="P319" s="3" t="s">
        <v>982</v>
      </c>
      <c r="Q319" s="3" t="s">
        <v>987</v>
      </c>
      <c r="R319" s="3" t="s">
        <v>916</v>
      </c>
      <c r="S319" s="3" t="s">
        <v>979</v>
      </c>
      <c r="T319" s="3" t="s">
        <v>1064</v>
      </c>
    </row>
    <row r="320" spans="3:20">
      <c r="G320" s="3" t="s">
        <v>981</v>
      </c>
      <c r="K320" s="3" t="s">
        <v>1167</v>
      </c>
      <c r="N320" s="3" t="s">
        <v>1000</v>
      </c>
      <c r="O320" s="3" t="s">
        <v>990</v>
      </c>
      <c r="P320" s="3" t="s">
        <v>1111</v>
      </c>
      <c r="Q320" s="3" t="s">
        <v>988</v>
      </c>
      <c r="R320" s="3" t="s">
        <v>941</v>
      </c>
      <c r="S320" s="3" t="s">
        <v>1167</v>
      </c>
      <c r="T320" s="3" t="s">
        <v>915</v>
      </c>
    </row>
    <row r="321" spans="7:20">
      <c r="G321" s="3" t="s">
        <v>987</v>
      </c>
      <c r="K321" s="3" t="s">
        <v>981</v>
      </c>
      <c r="N321" s="3" t="s">
        <v>1001</v>
      </c>
      <c r="O321" s="2" t="s">
        <v>991</v>
      </c>
      <c r="P321" s="3" t="s">
        <v>981</v>
      </c>
      <c r="Q321" s="2" t="s">
        <v>989</v>
      </c>
      <c r="R321" s="3" t="s">
        <v>2117</v>
      </c>
      <c r="S321" s="3" t="s">
        <v>981</v>
      </c>
      <c r="T321" s="3" t="s">
        <v>2321</v>
      </c>
    </row>
    <row r="322" spans="7:20">
      <c r="G322" s="3" t="s">
        <v>988</v>
      </c>
      <c r="K322" s="3" t="s">
        <v>982</v>
      </c>
      <c r="N322" s="3" t="s">
        <v>1002</v>
      </c>
      <c r="O322" s="3" t="s">
        <v>1171</v>
      </c>
      <c r="P322" s="3" t="s">
        <v>982</v>
      </c>
      <c r="Q322" s="3" t="s">
        <v>990</v>
      </c>
      <c r="R322" s="3" t="s">
        <v>2118</v>
      </c>
      <c r="S322" s="3" t="s">
        <v>982</v>
      </c>
      <c r="T322" s="4" t="s">
        <v>1066</v>
      </c>
    </row>
    <row r="323" spans="7:20">
      <c r="G323" s="3" t="s">
        <v>144</v>
      </c>
      <c r="K323" s="3" t="s">
        <v>1111</v>
      </c>
      <c r="N323" s="6"/>
      <c r="O323" s="2" t="s">
        <v>993</v>
      </c>
      <c r="P323" s="3" t="s">
        <v>1955</v>
      </c>
      <c r="Q323" s="2" t="s">
        <v>991</v>
      </c>
      <c r="R323" s="3" t="s">
        <v>1078</v>
      </c>
      <c r="S323" s="3" t="s">
        <v>1111</v>
      </c>
      <c r="T323" s="3" t="s">
        <v>1061</v>
      </c>
    </row>
    <row r="324" spans="7:20">
      <c r="G324" s="2" t="s">
        <v>989</v>
      </c>
      <c r="K324" s="3" t="s">
        <v>981</v>
      </c>
      <c r="N324" s="3" t="s">
        <v>1003</v>
      </c>
      <c r="O324" s="3" t="s">
        <v>994</v>
      </c>
      <c r="P324" s="3" t="s">
        <v>981</v>
      </c>
      <c r="Q324" s="3" t="s">
        <v>1171</v>
      </c>
      <c r="R324" s="3" t="s">
        <v>943</v>
      </c>
      <c r="S324" s="3" t="s">
        <v>981</v>
      </c>
      <c r="T324" s="3" t="s">
        <v>2322</v>
      </c>
    </row>
    <row r="325" spans="7:20">
      <c r="G325" s="3" t="s">
        <v>990</v>
      </c>
      <c r="K325" s="3" t="s">
        <v>982</v>
      </c>
      <c r="O325" s="2" t="s">
        <v>995</v>
      </c>
      <c r="P325" s="3" t="s">
        <v>982</v>
      </c>
      <c r="Q325" s="2" t="s">
        <v>993</v>
      </c>
      <c r="R325" s="3" t="s">
        <v>912</v>
      </c>
      <c r="S325" s="3" t="s">
        <v>982</v>
      </c>
      <c r="T325" s="3" t="s">
        <v>1071</v>
      </c>
    </row>
    <row r="326" spans="7:20">
      <c r="G326" s="2" t="s">
        <v>991</v>
      </c>
      <c r="K326" s="3" t="s">
        <v>1713</v>
      </c>
      <c r="O326" s="3" t="s">
        <v>996</v>
      </c>
      <c r="P326" s="3" t="s">
        <v>1956</v>
      </c>
      <c r="Q326" s="3" t="s">
        <v>994</v>
      </c>
      <c r="R326" s="3" t="s">
        <v>2119</v>
      </c>
      <c r="S326" s="3" t="s">
        <v>2243</v>
      </c>
      <c r="T326" s="3" t="s">
        <v>1064</v>
      </c>
    </row>
    <row r="327" spans="7:20">
      <c r="G327" s="3" t="s">
        <v>1171</v>
      </c>
      <c r="K327" s="3" t="s">
        <v>981</v>
      </c>
      <c r="O327" s="3" t="s">
        <v>997</v>
      </c>
      <c r="P327" s="3" t="s">
        <v>981</v>
      </c>
      <c r="Q327" s="2" t="s">
        <v>995</v>
      </c>
      <c r="R327" s="3" t="s">
        <v>2120</v>
      </c>
      <c r="S327" s="3" t="s">
        <v>981</v>
      </c>
      <c r="T327" s="3" t="s">
        <v>915</v>
      </c>
    </row>
    <row r="328" spans="7:20">
      <c r="G328" s="2" t="s">
        <v>993</v>
      </c>
      <c r="K328" s="3" t="s">
        <v>982</v>
      </c>
      <c r="O328" s="3" t="s">
        <v>998</v>
      </c>
      <c r="P328" s="3" t="s">
        <v>982</v>
      </c>
      <c r="Q328" s="3" t="s">
        <v>996</v>
      </c>
      <c r="R328" s="3" t="s">
        <v>916</v>
      </c>
      <c r="S328" s="3" t="s">
        <v>982</v>
      </c>
      <c r="T328" s="3" t="s">
        <v>1014</v>
      </c>
    </row>
    <row r="329" spans="7:20">
      <c r="G329" s="3" t="s">
        <v>994</v>
      </c>
      <c r="K329" s="3" t="s">
        <v>1714</v>
      </c>
      <c r="O329" s="3" t="s">
        <v>999</v>
      </c>
      <c r="P329" s="3" t="s">
        <v>984</v>
      </c>
      <c r="Q329" s="3" t="s">
        <v>997</v>
      </c>
      <c r="R329" s="3" t="s">
        <v>941</v>
      </c>
      <c r="S329" s="3" t="s">
        <v>2244</v>
      </c>
      <c r="T329" s="3" t="s">
        <v>2137</v>
      </c>
    </row>
    <row r="330" spans="7:20">
      <c r="G330" s="2" t="s">
        <v>995</v>
      </c>
      <c r="K330" s="3" t="s">
        <v>981</v>
      </c>
      <c r="O330" s="3" t="s">
        <v>1000</v>
      </c>
      <c r="P330" s="3" t="s">
        <v>981</v>
      </c>
      <c r="Q330" s="3" t="s">
        <v>998</v>
      </c>
      <c r="R330" s="3" t="s">
        <v>2121</v>
      </c>
      <c r="S330" s="3" t="s">
        <v>981</v>
      </c>
      <c r="T330" s="3" t="s">
        <v>1073</v>
      </c>
    </row>
    <row r="331" spans="7:20">
      <c r="G331" s="3" t="s">
        <v>996</v>
      </c>
      <c r="K331" s="3" t="s">
        <v>982</v>
      </c>
      <c r="O331" s="3" t="s">
        <v>1001</v>
      </c>
      <c r="P331" s="3" t="s">
        <v>982</v>
      </c>
      <c r="Q331" s="3" t="s">
        <v>999</v>
      </c>
      <c r="R331" s="3" t="s">
        <v>2122</v>
      </c>
      <c r="S331" s="3" t="s">
        <v>982</v>
      </c>
      <c r="T331" s="3" t="s">
        <v>1074</v>
      </c>
    </row>
    <row r="332" spans="7:20">
      <c r="G332" s="3" t="s">
        <v>997</v>
      </c>
      <c r="K332" s="3" t="s">
        <v>984</v>
      </c>
      <c r="O332" s="3" t="s">
        <v>1002</v>
      </c>
      <c r="P332" s="3" t="s">
        <v>1957</v>
      </c>
      <c r="Q332" s="3" t="s">
        <v>1000</v>
      </c>
      <c r="R332" s="3" t="s">
        <v>1078</v>
      </c>
      <c r="S332" s="3" t="s">
        <v>984</v>
      </c>
      <c r="T332" s="3" t="s">
        <v>2138</v>
      </c>
    </row>
    <row r="333" spans="7:20">
      <c r="G333" s="3" t="s">
        <v>998</v>
      </c>
      <c r="K333" s="3" t="s">
        <v>981</v>
      </c>
      <c r="O333" s="6"/>
      <c r="P333" s="3" t="s">
        <v>981</v>
      </c>
      <c r="Q333" s="3" t="s">
        <v>1001</v>
      </c>
      <c r="R333" s="3" t="s">
        <v>943</v>
      </c>
      <c r="S333" s="3" t="s">
        <v>981</v>
      </c>
      <c r="T333" s="3" t="s">
        <v>2082</v>
      </c>
    </row>
    <row r="334" spans="7:20">
      <c r="G334" s="3" t="s">
        <v>999</v>
      </c>
      <c r="K334" s="3" t="s">
        <v>982</v>
      </c>
      <c r="O334" s="3" t="s">
        <v>1003</v>
      </c>
      <c r="P334" s="3" t="s">
        <v>1543</v>
      </c>
      <c r="Q334" s="3" t="s">
        <v>1002</v>
      </c>
      <c r="R334" s="3" t="s">
        <v>912</v>
      </c>
      <c r="S334" s="3" t="s">
        <v>982</v>
      </c>
      <c r="T334" s="3" t="s">
        <v>2323</v>
      </c>
    </row>
    <row r="335" spans="7:20">
      <c r="G335" s="3" t="s">
        <v>1000</v>
      </c>
      <c r="K335" s="3" t="s">
        <v>1715</v>
      </c>
      <c r="O335" s="2" t="s">
        <v>993</v>
      </c>
      <c r="P335" s="3" t="s">
        <v>981</v>
      </c>
      <c r="Q335" s="6"/>
      <c r="R335" s="3" t="s">
        <v>2123</v>
      </c>
      <c r="S335" s="3" t="s">
        <v>2245</v>
      </c>
      <c r="T335" s="3" t="s">
        <v>1078</v>
      </c>
    </row>
    <row r="336" spans="7:20">
      <c r="G336" s="3" t="s">
        <v>1001</v>
      </c>
      <c r="K336" s="3" t="s">
        <v>981</v>
      </c>
      <c r="O336" s="3" t="s">
        <v>994</v>
      </c>
      <c r="P336" s="3" t="s">
        <v>987</v>
      </c>
      <c r="Q336" s="3" t="s">
        <v>1003</v>
      </c>
      <c r="R336" s="3" t="s">
        <v>916</v>
      </c>
      <c r="S336" s="3" t="s">
        <v>981</v>
      </c>
      <c r="T336" s="3" t="s">
        <v>1016</v>
      </c>
    </row>
    <row r="337" spans="7:20">
      <c r="G337" s="3" t="s">
        <v>1002</v>
      </c>
      <c r="K337" s="3" t="s">
        <v>1543</v>
      </c>
      <c r="O337" s="2" t="s">
        <v>995</v>
      </c>
      <c r="P337" s="3" t="s">
        <v>988</v>
      </c>
      <c r="R337" s="3" t="s">
        <v>1009</v>
      </c>
      <c r="S337" s="3" t="s">
        <v>1543</v>
      </c>
      <c r="T337" s="3" t="s">
        <v>2324</v>
      </c>
    </row>
    <row r="338" spans="7:20">
      <c r="G338" s="6"/>
      <c r="K338" s="3" t="s">
        <v>981</v>
      </c>
      <c r="O338" s="3" t="s">
        <v>996</v>
      </c>
      <c r="P338" s="2" t="s">
        <v>989</v>
      </c>
      <c r="R338" s="3" t="s">
        <v>1010</v>
      </c>
      <c r="S338" s="3" t="s">
        <v>981</v>
      </c>
      <c r="T338" s="3" t="s">
        <v>1009</v>
      </c>
    </row>
    <row r="339" spans="7:20">
      <c r="G339" s="3" t="s">
        <v>1003</v>
      </c>
      <c r="K339" s="3" t="s">
        <v>987</v>
      </c>
      <c r="O339" s="3" t="s">
        <v>997</v>
      </c>
      <c r="P339" s="3" t="s">
        <v>990</v>
      </c>
      <c r="R339" s="3" t="s">
        <v>1011</v>
      </c>
      <c r="S339" s="3" t="s">
        <v>987</v>
      </c>
      <c r="T339" s="3" t="s">
        <v>1010</v>
      </c>
    </row>
    <row r="340" spans="7:20">
      <c r="K340" s="3" t="s">
        <v>988</v>
      </c>
      <c r="O340" s="3" t="s">
        <v>998</v>
      </c>
      <c r="P340" s="2" t="s">
        <v>991</v>
      </c>
      <c r="R340" s="3" t="s">
        <v>2124</v>
      </c>
      <c r="S340" s="3" t="s">
        <v>988</v>
      </c>
      <c r="T340" s="3" t="s">
        <v>1816</v>
      </c>
    </row>
    <row r="341" spans="7:20">
      <c r="K341" s="2" t="s">
        <v>989</v>
      </c>
      <c r="O341" s="3" t="s">
        <v>999</v>
      </c>
      <c r="P341" s="3" t="s">
        <v>1171</v>
      </c>
      <c r="R341" s="3" t="s">
        <v>2125</v>
      </c>
      <c r="S341" s="2" t="s">
        <v>989</v>
      </c>
      <c r="T341" s="3" t="s">
        <v>2325</v>
      </c>
    </row>
    <row r="342" spans="7:20">
      <c r="K342" s="3" t="s">
        <v>990</v>
      </c>
      <c r="O342" s="3" t="s">
        <v>1000</v>
      </c>
      <c r="P342" s="2" t="s">
        <v>993</v>
      </c>
      <c r="R342" s="3" t="s">
        <v>1664</v>
      </c>
      <c r="S342" s="3" t="s">
        <v>990</v>
      </c>
      <c r="T342" s="3" t="s">
        <v>2326</v>
      </c>
    </row>
    <row r="343" spans="7:20">
      <c r="K343" s="2" t="s">
        <v>991</v>
      </c>
      <c r="O343" s="3" t="s">
        <v>1001</v>
      </c>
      <c r="P343" s="3" t="s">
        <v>994</v>
      </c>
      <c r="R343" s="3" t="s">
        <v>1013</v>
      </c>
      <c r="S343" s="2" t="s">
        <v>991</v>
      </c>
      <c r="T343" s="3" t="s">
        <v>914</v>
      </c>
    </row>
    <row r="344" spans="7:20">
      <c r="K344" s="3" t="s">
        <v>1171</v>
      </c>
      <c r="O344" s="3" t="s">
        <v>1002</v>
      </c>
      <c r="P344" s="2" t="s">
        <v>995</v>
      </c>
      <c r="R344" s="3" t="s">
        <v>1014</v>
      </c>
      <c r="S344" s="3" t="s">
        <v>1171</v>
      </c>
      <c r="T344" s="3" t="s">
        <v>1284</v>
      </c>
    </row>
    <row r="345" spans="7:20">
      <c r="K345" s="2" t="s">
        <v>993</v>
      </c>
      <c r="O345" s="6"/>
      <c r="P345" s="3" t="s">
        <v>996</v>
      </c>
      <c r="R345" s="3" t="s">
        <v>1010</v>
      </c>
      <c r="S345" s="2" t="s">
        <v>993</v>
      </c>
      <c r="T345" s="3" t="s">
        <v>1014</v>
      </c>
    </row>
    <row r="346" spans="7:20">
      <c r="K346" s="3" t="s">
        <v>994</v>
      </c>
      <c r="O346" s="3" t="s">
        <v>1003</v>
      </c>
      <c r="P346" s="3" t="s">
        <v>997</v>
      </c>
      <c r="R346" s="3" t="s">
        <v>1042</v>
      </c>
      <c r="S346" s="3" t="s">
        <v>994</v>
      </c>
      <c r="T346" s="3" t="s">
        <v>1010</v>
      </c>
    </row>
    <row r="347" spans="7:20">
      <c r="K347" s="2" t="s">
        <v>995</v>
      </c>
      <c r="P347" s="3" t="s">
        <v>998</v>
      </c>
      <c r="R347" s="3" t="s">
        <v>2126</v>
      </c>
      <c r="S347" s="2" t="s">
        <v>995</v>
      </c>
      <c r="T347" s="3" t="s">
        <v>1042</v>
      </c>
    </row>
    <row r="348" spans="7:20">
      <c r="K348" s="3" t="s">
        <v>996</v>
      </c>
      <c r="P348" s="3" t="s">
        <v>999</v>
      </c>
      <c r="R348" s="3" t="s">
        <v>2127</v>
      </c>
      <c r="S348" s="3" t="s">
        <v>996</v>
      </c>
      <c r="T348" s="3" t="s">
        <v>2327</v>
      </c>
    </row>
    <row r="349" spans="7:20">
      <c r="K349" s="3" t="s">
        <v>997</v>
      </c>
      <c r="P349" s="3" t="s">
        <v>1000</v>
      </c>
      <c r="R349" s="3" t="s">
        <v>2128</v>
      </c>
      <c r="S349" s="3" t="s">
        <v>997</v>
      </c>
      <c r="T349" s="3" t="s">
        <v>2328</v>
      </c>
    </row>
    <row r="350" spans="7:20">
      <c r="K350" s="3" t="s">
        <v>998</v>
      </c>
      <c r="P350" s="3" t="s">
        <v>1001</v>
      </c>
      <c r="R350" s="3" t="s">
        <v>2129</v>
      </c>
      <c r="S350" s="3" t="s">
        <v>998</v>
      </c>
      <c r="T350" s="3" t="s">
        <v>2329</v>
      </c>
    </row>
    <row r="351" spans="7:20">
      <c r="K351" s="3" t="s">
        <v>999</v>
      </c>
      <c r="P351" s="3" t="s">
        <v>1002</v>
      </c>
      <c r="R351" s="3" t="s">
        <v>1015</v>
      </c>
      <c r="S351" s="3" t="s">
        <v>999</v>
      </c>
      <c r="T351" s="3" t="s">
        <v>2330</v>
      </c>
    </row>
    <row r="352" spans="7:20">
      <c r="K352" s="3" t="s">
        <v>1000</v>
      </c>
      <c r="P352" s="6"/>
      <c r="R352" s="3" t="s">
        <v>1014</v>
      </c>
      <c r="S352" s="3" t="s">
        <v>1000</v>
      </c>
      <c r="T352" s="3" t="s">
        <v>2331</v>
      </c>
    </row>
    <row r="353" spans="11:20">
      <c r="K353" s="3" t="s">
        <v>1001</v>
      </c>
      <c r="P353" s="3" t="s">
        <v>1003</v>
      </c>
      <c r="R353" s="3" t="s">
        <v>1016</v>
      </c>
      <c r="S353" s="3" t="s">
        <v>1001</v>
      </c>
      <c r="T353" s="3" t="s">
        <v>1015</v>
      </c>
    </row>
    <row r="354" spans="11:20">
      <c r="K354" s="3" t="s">
        <v>1002</v>
      </c>
      <c r="R354" s="3" t="s">
        <v>2130</v>
      </c>
      <c r="S354" s="3" t="s">
        <v>1002</v>
      </c>
      <c r="T354" s="3" t="s">
        <v>1014</v>
      </c>
    </row>
    <row r="355" spans="11:20">
      <c r="K355" s="6"/>
      <c r="R355" s="3" t="s">
        <v>2131</v>
      </c>
      <c r="S355" s="6"/>
      <c r="T355" s="3" t="s">
        <v>1016</v>
      </c>
    </row>
    <row r="356" spans="11:20">
      <c r="K356" s="3" t="s">
        <v>1003</v>
      </c>
      <c r="R356" s="3" t="s">
        <v>1052</v>
      </c>
      <c r="S356" s="3" t="s">
        <v>1003</v>
      </c>
      <c r="T356" s="3" t="s">
        <v>912</v>
      </c>
    </row>
    <row r="357" spans="11:20">
      <c r="R357" s="3" t="s">
        <v>2132</v>
      </c>
      <c r="T357" s="3" t="s">
        <v>2332</v>
      </c>
    </row>
    <row r="358" spans="11:20">
      <c r="R358" s="3" t="s">
        <v>2133</v>
      </c>
      <c r="T358" s="3" t="s">
        <v>916</v>
      </c>
    </row>
    <row r="359" spans="11:20">
      <c r="R359" s="3" t="s">
        <v>1057</v>
      </c>
      <c r="T359" s="3" t="s">
        <v>1532</v>
      </c>
    </row>
    <row r="360" spans="11:20">
      <c r="R360" s="3" t="s">
        <v>1058</v>
      </c>
      <c r="T360" s="4" t="s">
        <v>1533</v>
      </c>
    </row>
    <row r="361" spans="11:20">
      <c r="R361" s="3" t="s">
        <v>2134</v>
      </c>
      <c r="T361" s="3" t="s">
        <v>1534</v>
      </c>
    </row>
    <row r="362" spans="11:20">
      <c r="R362" s="4" t="s">
        <v>1060</v>
      </c>
      <c r="T362" s="3" t="s">
        <v>1103</v>
      </c>
    </row>
    <row r="363" spans="11:20">
      <c r="R363" s="3" t="s">
        <v>1061</v>
      </c>
      <c r="T363" s="3" t="s">
        <v>943</v>
      </c>
    </row>
    <row r="364" spans="11:20">
      <c r="R364" s="3" t="s">
        <v>2135</v>
      </c>
      <c r="T364" s="6"/>
    </row>
    <row r="365" spans="11:20">
      <c r="R365" s="3" t="s">
        <v>1063</v>
      </c>
      <c r="T365" s="3" t="s">
        <v>1535</v>
      </c>
    </row>
    <row r="366" spans="11:20">
      <c r="R366" s="3" t="s">
        <v>1064</v>
      </c>
      <c r="T366" s="3" t="s">
        <v>965</v>
      </c>
    </row>
    <row r="367" spans="11:20">
      <c r="R367" s="3" t="s">
        <v>915</v>
      </c>
      <c r="T367" s="6"/>
    </row>
    <row r="368" spans="11:20">
      <c r="R368" s="3" t="s">
        <v>2136</v>
      </c>
      <c r="T368" s="3" t="s">
        <v>1253</v>
      </c>
    </row>
    <row r="369" spans="18:20">
      <c r="R369" s="4" t="s">
        <v>1066</v>
      </c>
      <c r="T369" s="3" t="s">
        <v>1537</v>
      </c>
    </row>
    <row r="370" spans="18:20">
      <c r="R370" s="3" t="s">
        <v>1061</v>
      </c>
      <c r="T370" s="3" t="s">
        <v>1538</v>
      </c>
    </row>
    <row r="371" spans="18:20">
      <c r="R371" s="3" t="s">
        <v>2135</v>
      </c>
      <c r="T371" s="2" t="s">
        <v>1108</v>
      </c>
    </row>
    <row r="372" spans="18:20">
      <c r="R372" s="3" t="s">
        <v>1067</v>
      </c>
      <c r="T372" s="2" t="s">
        <v>903</v>
      </c>
    </row>
    <row r="373" spans="18:20">
      <c r="R373" s="3" t="s">
        <v>1064</v>
      </c>
      <c r="T373" s="2" t="s">
        <v>904</v>
      </c>
    </row>
    <row r="374" spans="18:20">
      <c r="R374" s="3" t="s">
        <v>915</v>
      </c>
      <c r="T374" s="3" t="s">
        <v>976</v>
      </c>
    </row>
    <row r="375" spans="18:20">
      <c r="R375" s="3" t="s">
        <v>1014</v>
      </c>
      <c r="T375" s="3" t="s">
        <v>1109</v>
      </c>
    </row>
    <row r="376" spans="18:20">
      <c r="R376" s="3" t="s">
        <v>2137</v>
      </c>
      <c r="T376" s="3" t="s">
        <v>1539</v>
      </c>
    </row>
    <row r="377" spans="18:20">
      <c r="R377" s="3" t="s">
        <v>1073</v>
      </c>
      <c r="T377" s="3" t="s">
        <v>978</v>
      </c>
    </row>
    <row r="378" spans="18:20">
      <c r="R378" s="3" t="s">
        <v>1074</v>
      </c>
      <c r="T378" s="3" t="s">
        <v>979</v>
      </c>
    </row>
    <row r="379" spans="18:20">
      <c r="R379" s="3" t="s">
        <v>2138</v>
      </c>
      <c r="T379" s="3" t="s">
        <v>1167</v>
      </c>
    </row>
    <row r="380" spans="18:20">
      <c r="R380" s="3" t="s">
        <v>1076</v>
      </c>
      <c r="T380" s="3" t="s">
        <v>981</v>
      </c>
    </row>
    <row r="381" spans="18:20">
      <c r="R381" s="3" t="s">
        <v>1077</v>
      </c>
      <c r="T381" s="3" t="s">
        <v>982</v>
      </c>
    </row>
    <row r="382" spans="18:20">
      <c r="R382" s="3" t="s">
        <v>1078</v>
      </c>
      <c r="T382" s="3" t="s">
        <v>1111</v>
      </c>
    </row>
    <row r="383" spans="18:20">
      <c r="R383" s="3" t="s">
        <v>1016</v>
      </c>
      <c r="T383" s="3" t="s">
        <v>981</v>
      </c>
    </row>
    <row r="384" spans="18:20">
      <c r="R384" s="3" t="s">
        <v>912</v>
      </c>
      <c r="T384" s="3" t="s">
        <v>982</v>
      </c>
    </row>
    <row r="385" spans="18:20">
      <c r="R385" s="3" t="s">
        <v>2139</v>
      </c>
      <c r="T385" s="3" t="s">
        <v>2333</v>
      </c>
    </row>
    <row r="386" spans="18:20">
      <c r="R386" s="3" t="s">
        <v>1937</v>
      </c>
      <c r="T386" s="3" t="s">
        <v>981</v>
      </c>
    </row>
    <row r="387" spans="18:20">
      <c r="R387" s="3" t="s">
        <v>916</v>
      </c>
      <c r="T387" s="3" t="s">
        <v>982</v>
      </c>
    </row>
    <row r="388" spans="18:20">
      <c r="R388" s="3" t="s">
        <v>912</v>
      </c>
      <c r="T388" s="3" t="s">
        <v>2334</v>
      </c>
    </row>
    <row r="389" spans="18:20">
      <c r="R389" s="3" t="s">
        <v>2140</v>
      </c>
      <c r="T389" s="3" t="s">
        <v>981</v>
      </c>
    </row>
    <row r="390" spans="18:20">
      <c r="R390" s="3" t="s">
        <v>916</v>
      </c>
      <c r="T390" s="3" t="s">
        <v>982</v>
      </c>
    </row>
    <row r="391" spans="18:20">
      <c r="R391" s="3" t="s">
        <v>1009</v>
      </c>
      <c r="T391" s="3" t="s">
        <v>984</v>
      </c>
    </row>
    <row r="392" spans="18:20">
      <c r="R392" s="3" t="s">
        <v>1010</v>
      </c>
      <c r="T392" s="3" t="s">
        <v>981</v>
      </c>
    </row>
    <row r="393" spans="18:20">
      <c r="R393" s="3" t="s">
        <v>1011</v>
      </c>
      <c r="T393" s="3" t="s">
        <v>982</v>
      </c>
    </row>
    <row r="394" spans="18:20">
      <c r="R394" s="3" t="s">
        <v>2141</v>
      </c>
      <c r="T394" s="3" t="s">
        <v>2335</v>
      </c>
    </row>
    <row r="395" spans="18:20">
      <c r="R395" s="3" t="s">
        <v>2142</v>
      </c>
      <c r="T395" s="3" t="s">
        <v>981</v>
      </c>
    </row>
    <row r="396" spans="18:20">
      <c r="R396" s="3" t="s">
        <v>1664</v>
      </c>
      <c r="T396" s="3" t="s">
        <v>1543</v>
      </c>
    </row>
    <row r="397" spans="18:20">
      <c r="R397" s="3" t="s">
        <v>1013</v>
      </c>
      <c r="T397" s="3" t="s">
        <v>981</v>
      </c>
    </row>
    <row r="398" spans="18:20">
      <c r="R398" s="3" t="s">
        <v>1014</v>
      </c>
      <c r="T398" s="3" t="s">
        <v>987</v>
      </c>
    </row>
    <row r="399" spans="18:20">
      <c r="R399" s="3" t="s">
        <v>1010</v>
      </c>
      <c r="T399" s="3" t="s">
        <v>988</v>
      </c>
    </row>
    <row r="400" spans="18:20">
      <c r="R400" s="3" t="s">
        <v>1042</v>
      </c>
      <c r="T400" s="2" t="s">
        <v>989</v>
      </c>
    </row>
    <row r="401" spans="18:20">
      <c r="R401" s="3" t="s">
        <v>2143</v>
      </c>
      <c r="T401" s="3" t="s">
        <v>990</v>
      </c>
    </row>
    <row r="402" spans="18:20">
      <c r="R402" s="3" t="s">
        <v>2144</v>
      </c>
      <c r="T402" s="2" t="s">
        <v>991</v>
      </c>
    </row>
    <row r="403" spans="18:20">
      <c r="R403" s="3" t="s">
        <v>2145</v>
      </c>
      <c r="T403" s="3" t="s">
        <v>1171</v>
      </c>
    </row>
    <row r="404" spans="18:20">
      <c r="R404" s="3" t="s">
        <v>2146</v>
      </c>
      <c r="T404" s="2" t="s">
        <v>993</v>
      </c>
    </row>
    <row r="405" spans="18:20">
      <c r="R405" s="3" t="s">
        <v>1015</v>
      </c>
      <c r="T405" s="3" t="s">
        <v>994</v>
      </c>
    </row>
    <row r="406" spans="18:20">
      <c r="R406" s="3" t="s">
        <v>1014</v>
      </c>
      <c r="T406" s="2" t="s">
        <v>995</v>
      </c>
    </row>
    <row r="407" spans="18:20">
      <c r="R407" s="3" t="s">
        <v>1016</v>
      </c>
      <c r="T407" s="3" t="s">
        <v>996</v>
      </c>
    </row>
    <row r="408" spans="18:20">
      <c r="R408" s="3" t="s">
        <v>912</v>
      </c>
      <c r="T408" s="3" t="s">
        <v>997</v>
      </c>
    </row>
    <row r="409" spans="18:20">
      <c r="R409" s="3" t="s">
        <v>2147</v>
      </c>
      <c r="T409" s="3" t="s">
        <v>998</v>
      </c>
    </row>
    <row r="410" spans="18:20">
      <c r="R410" s="3" t="s">
        <v>916</v>
      </c>
      <c r="T410" s="3" t="s">
        <v>999</v>
      </c>
    </row>
    <row r="411" spans="18:20">
      <c r="R411" s="6"/>
      <c r="T411" s="3" t="s">
        <v>1000</v>
      </c>
    </row>
    <row r="412" spans="18:20">
      <c r="R412" s="3" t="s">
        <v>1532</v>
      </c>
      <c r="T412" s="3" t="s">
        <v>1001</v>
      </c>
    </row>
    <row r="413" spans="18:20">
      <c r="R413" s="4" t="s">
        <v>1533</v>
      </c>
      <c r="T413" s="3" t="s">
        <v>1002</v>
      </c>
    </row>
    <row r="414" spans="18:20">
      <c r="R414" s="3" t="s">
        <v>1534</v>
      </c>
      <c r="T414" s="6"/>
    </row>
    <row r="415" spans="18:20">
      <c r="R415" s="3" t="s">
        <v>1103</v>
      </c>
      <c r="T415" s="3" t="s">
        <v>1003</v>
      </c>
    </row>
    <row r="416" spans="18:20">
      <c r="R416" s="3" t="s">
        <v>943</v>
      </c>
    </row>
    <row r="417" spans="18:18">
      <c r="R417" s="6"/>
    </row>
    <row r="418" spans="18:18">
      <c r="R418" s="3" t="s">
        <v>1535</v>
      </c>
    </row>
    <row r="419" spans="18:18">
      <c r="R419" s="3" t="s">
        <v>965</v>
      </c>
    </row>
    <row r="420" spans="18:18">
      <c r="R420" s="6"/>
    </row>
    <row r="421" spans="18:18">
      <c r="R421" s="3" t="s">
        <v>1253</v>
      </c>
    </row>
    <row r="422" spans="18:18">
      <c r="R422" s="3" t="s">
        <v>2148</v>
      </c>
    </row>
    <row r="423" spans="18:18">
      <c r="R423" s="3" t="s">
        <v>916</v>
      </c>
    </row>
    <row r="424" spans="18:18">
      <c r="R424" s="3" t="s">
        <v>2149</v>
      </c>
    </row>
    <row r="425" spans="18:18">
      <c r="R425" s="2" t="s">
        <v>1108</v>
      </c>
    </row>
    <row r="426" spans="18:18">
      <c r="R426" s="2" t="s">
        <v>903</v>
      </c>
    </row>
    <row r="427" spans="18:18">
      <c r="R427" s="2" t="s">
        <v>904</v>
      </c>
    </row>
    <row r="428" spans="18:18">
      <c r="R428" s="3" t="s">
        <v>976</v>
      </c>
    </row>
    <row r="429" spans="18:18">
      <c r="R429" s="3" t="s">
        <v>1109</v>
      </c>
    </row>
    <row r="430" spans="18:18">
      <c r="R430" s="3" t="s">
        <v>1539</v>
      </c>
    </row>
    <row r="431" spans="18:18">
      <c r="R431" s="3" t="s">
        <v>978</v>
      </c>
    </row>
    <row r="432" spans="18:18">
      <c r="R432" s="3" t="s">
        <v>979</v>
      </c>
    </row>
    <row r="433" spans="18:18">
      <c r="R433" s="3" t="s">
        <v>1167</v>
      </c>
    </row>
    <row r="434" spans="18:18">
      <c r="R434" s="3" t="s">
        <v>981</v>
      </c>
    </row>
    <row r="435" spans="18:18">
      <c r="R435" s="3" t="s">
        <v>982</v>
      </c>
    </row>
    <row r="436" spans="18:18">
      <c r="R436" s="3" t="s">
        <v>1111</v>
      </c>
    </row>
    <row r="437" spans="18:18">
      <c r="R437" s="3" t="s">
        <v>981</v>
      </c>
    </row>
    <row r="438" spans="18:18">
      <c r="R438" s="3" t="s">
        <v>982</v>
      </c>
    </row>
    <row r="439" spans="18:18">
      <c r="R439" s="3" t="s">
        <v>2150</v>
      </c>
    </row>
    <row r="440" spans="18:18">
      <c r="R440" s="3" t="s">
        <v>981</v>
      </c>
    </row>
    <row r="441" spans="18:18">
      <c r="R441" s="3" t="s">
        <v>982</v>
      </c>
    </row>
    <row r="442" spans="18:18">
      <c r="R442" s="3" t="s">
        <v>2151</v>
      </c>
    </row>
    <row r="443" spans="18:18">
      <c r="R443" s="3" t="s">
        <v>981</v>
      </c>
    </row>
    <row r="444" spans="18:18">
      <c r="R444" s="3" t="s">
        <v>982</v>
      </c>
    </row>
    <row r="445" spans="18:18">
      <c r="R445" s="3" t="s">
        <v>984</v>
      </c>
    </row>
    <row r="446" spans="18:18">
      <c r="R446" s="3" t="s">
        <v>981</v>
      </c>
    </row>
    <row r="447" spans="18:18">
      <c r="R447" s="3" t="s">
        <v>982</v>
      </c>
    </row>
    <row r="448" spans="18:18">
      <c r="R448" s="3" t="s">
        <v>2152</v>
      </c>
    </row>
    <row r="449" spans="18:18">
      <c r="R449" s="3" t="s">
        <v>981</v>
      </c>
    </row>
    <row r="450" spans="18:18">
      <c r="R450" s="3" t="s">
        <v>1543</v>
      </c>
    </row>
    <row r="451" spans="18:18">
      <c r="R451" s="3" t="s">
        <v>981</v>
      </c>
    </row>
    <row r="452" spans="18:18">
      <c r="R452" s="3" t="s">
        <v>987</v>
      </c>
    </row>
    <row r="453" spans="18:18">
      <c r="R453" s="3" t="s">
        <v>988</v>
      </c>
    </row>
    <row r="454" spans="18:18">
      <c r="R454" s="2" t="s">
        <v>989</v>
      </c>
    </row>
    <row r="455" spans="18:18">
      <c r="R455" s="3" t="s">
        <v>990</v>
      </c>
    </row>
    <row r="456" spans="18:18">
      <c r="R456" s="2" t="s">
        <v>991</v>
      </c>
    </row>
    <row r="457" spans="18:18">
      <c r="R457" s="3" t="s">
        <v>1171</v>
      </c>
    </row>
    <row r="458" spans="18:18">
      <c r="R458" s="2" t="s">
        <v>993</v>
      </c>
    </row>
    <row r="459" spans="18:18">
      <c r="R459" s="3" t="s">
        <v>994</v>
      </c>
    </row>
    <row r="460" spans="18:18">
      <c r="R460" s="2" t="s">
        <v>995</v>
      </c>
    </row>
    <row r="461" spans="18:18">
      <c r="R461" s="3" t="s">
        <v>996</v>
      </c>
    </row>
    <row r="462" spans="18:18">
      <c r="R462" s="3" t="s">
        <v>997</v>
      </c>
    </row>
    <row r="463" spans="18:18">
      <c r="R463" s="3" t="s">
        <v>998</v>
      </c>
    </row>
    <row r="464" spans="18:18">
      <c r="R464" s="3" t="s">
        <v>999</v>
      </c>
    </row>
    <row r="465" spans="18:18">
      <c r="R465" s="3" t="s">
        <v>1000</v>
      </c>
    </row>
    <row r="466" spans="18:18">
      <c r="R466" s="3" t="s">
        <v>1001</v>
      </c>
    </row>
    <row r="467" spans="18:18">
      <c r="R467" s="3" t="s">
        <v>1002</v>
      </c>
    </row>
    <row r="468" spans="18:18">
      <c r="R468" s="6"/>
    </row>
    <row r="469" spans="18:18">
      <c r="R469" s="3" t="s">
        <v>1003</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CF74-8D3B-4067-B0B5-599C172EDEB7}">
  <dimension ref="B1:I142"/>
  <sheetViews>
    <sheetView workbookViewId="0">
      <pane xSplit="2" ySplit="1" topLeftCell="C25" activePane="bottomRight" state="frozen"/>
      <selection pane="topRight" activeCell="C1" sqref="C1"/>
      <selection pane="bottomLeft" activeCell="A2" sqref="A2"/>
      <selection pane="bottomRight" activeCell="A51" sqref="A51"/>
    </sheetView>
  </sheetViews>
  <sheetFormatPr defaultRowHeight="15"/>
  <cols>
    <col min="2" max="2" width="20.140625" bestFit="1" customWidth="1"/>
    <col min="7" max="7" width="14.85546875" bestFit="1" customWidth="1"/>
    <col min="8" max="8" width="19.5703125" bestFit="1" customWidth="1"/>
  </cols>
  <sheetData>
    <row r="1" spans="2:9">
      <c r="C1" t="s">
        <v>2506</v>
      </c>
      <c r="I1" t="s">
        <v>2358</v>
      </c>
    </row>
    <row r="2" spans="2:9">
      <c r="B2" t="s">
        <v>607</v>
      </c>
    </row>
    <row r="3" spans="2:9">
      <c r="B3" t="s">
        <v>2451</v>
      </c>
      <c r="C3" t="s">
        <v>2452</v>
      </c>
    </row>
    <row r="4" spans="2:9">
      <c r="B4" t="s">
        <v>2521</v>
      </c>
    </row>
    <row r="5" spans="2:9">
      <c r="B5" t="s">
        <v>2522</v>
      </c>
      <c r="C5" t="s">
        <v>2523</v>
      </c>
    </row>
    <row r="6" spans="2:9">
      <c r="B6" t="s">
        <v>2524</v>
      </c>
      <c r="C6" t="s">
        <v>2525</v>
      </c>
    </row>
    <row r="7" spans="2:9">
      <c r="B7" t="s">
        <v>2453</v>
      </c>
      <c r="C7" s="10" t="s">
        <v>2529</v>
      </c>
    </row>
    <row r="8" spans="2:9">
      <c r="B8" t="s">
        <v>2454</v>
      </c>
    </row>
    <row r="9" spans="2:9">
      <c r="B9" t="s">
        <v>2455</v>
      </c>
      <c r="C9" s="10" t="s">
        <v>2530</v>
      </c>
    </row>
    <row r="10" spans="2:9">
      <c r="B10" t="s">
        <v>2456</v>
      </c>
    </row>
    <row r="11" spans="2:9">
      <c r="B11" t="s">
        <v>2457</v>
      </c>
      <c r="C11" t="s">
        <v>2374</v>
      </c>
    </row>
    <row r="12" spans="2:9">
      <c r="B12" t="s">
        <v>2458</v>
      </c>
    </row>
    <row r="13" spans="2:9">
      <c r="B13" t="s">
        <v>2459</v>
      </c>
    </row>
    <row r="14" spans="2:9">
      <c r="B14" t="s">
        <v>2460</v>
      </c>
    </row>
    <row r="15" spans="2:9">
      <c r="B15" t="s">
        <v>2461</v>
      </c>
      <c r="C15" t="s">
        <v>2397</v>
      </c>
      <c r="H15" t="s">
        <v>2340</v>
      </c>
      <c r="I15" t="s">
        <v>2374</v>
      </c>
    </row>
    <row r="16" spans="2:9">
      <c r="B16" t="s">
        <v>2462</v>
      </c>
      <c r="C16" t="s">
        <v>2526</v>
      </c>
    </row>
    <row r="17" spans="2:9">
      <c r="B17" t="s">
        <v>2463</v>
      </c>
      <c r="C17" t="s">
        <v>438</v>
      </c>
    </row>
    <row r="18" spans="2:9">
      <c r="B18" t="s">
        <v>2464</v>
      </c>
      <c r="C18" t="s">
        <v>440</v>
      </c>
    </row>
    <row r="19" spans="2:9">
      <c r="B19" t="s">
        <v>2465</v>
      </c>
    </row>
    <row r="20" spans="2:9">
      <c r="B20" t="s">
        <v>2466</v>
      </c>
      <c r="H20" t="s">
        <v>2337</v>
      </c>
      <c r="I20" t="s">
        <v>438</v>
      </c>
    </row>
    <row r="21" spans="2:9">
      <c r="B21" t="s">
        <v>2467</v>
      </c>
    </row>
    <row r="22" spans="2:9">
      <c r="B22" t="s">
        <v>2468</v>
      </c>
    </row>
    <row r="23" spans="2:9">
      <c r="B23" t="s">
        <v>2469</v>
      </c>
      <c r="H23" t="s">
        <v>2338</v>
      </c>
      <c r="I23" t="s">
        <v>2397</v>
      </c>
    </row>
    <row r="24" spans="2:9">
      <c r="B24" t="s">
        <v>2470</v>
      </c>
    </row>
    <row r="25" spans="2:9">
      <c r="B25" t="s">
        <v>2471</v>
      </c>
    </row>
    <row r="26" spans="2:9">
      <c r="B26" t="s">
        <v>2472</v>
      </c>
      <c r="I26" t="s">
        <v>2508</v>
      </c>
    </row>
    <row r="27" spans="2:9">
      <c r="B27" t="s">
        <v>2473</v>
      </c>
    </row>
    <row r="28" spans="2:9">
      <c r="B28" t="s">
        <v>2474</v>
      </c>
      <c r="H28" t="s">
        <v>2373</v>
      </c>
      <c r="I28" t="s">
        <v>2403</v>
      </c>
    </row>
    <row r="29" spans="2:9">
      <c r="B29" t="s">
        <v>2475</v>
      </c>
    </row>
    <row r="30" spans="2:9">
      <c r="B30" t="s">
        <v>2476</v>
      </c>
      <c r="H30" t="s">
        <v>2339</v>
      </c>
      <c r="I30" t="s">
        <v>2418</v>
      </c>
    </row>
    <row r="31" spans="2:9">
      <c r="B31" t="s">
        <v>2477</v>
      </c>
    </row>
    <row r="32" spans="2:9">
      <c r="B32" t="s">
        <v>2478</v>
      </c>
      <c r="C32" t="s">
        <v>2479</v>
      </c>
    </row>
    <row r="33" spans="2:9">
      <c r="B33" t="s">
        <v>2443</v>
      </c>
    </row>
    <row r="34" spans="2:9">
      <c r="B34" t="s">
        <v>2444</v>
      </c>
    </row>
    <row r="35" spans="2:9">
      <c r="B35" t="s">
        <v>2480</v>
      </c>
      <c r="C35" t="s">
        <v>2479</v>
      </c>
    </row>
    <row r="36" spans="2:9">
      <c r="B36" t="s">
        <v>2445</v>
      </c>
    </row>
    <row r="37" spans="2:9">
      <c r="B37" t="s">
        <v>2481</v>
      </c>
      <c r="C37" t="s">
        <v>2527</v>
      </c>
    </row>
    <row r="38" spans="2:9" ht="18">
      <c r="B38" t="s">
        <v>2482</v>
      </c>
      <c r="C38" s="9" t="s">
        <v>2528</v>
      </c>
    </row>
    <row r="39" spans="2:9">
      <c r="B39" t="s">
        <v>2483</v>
      </c>
    </row>
    <row r="40" spans="2:9">
      <c r="B40" t="s">
        <v>2484</v>
      </c>
    </row>
    <row r="41" spans="2:9">
      <c r="B41" t="s">
        <v>2485</v>
      </c>
    </row>
    <row r="42" spans="2:9">
      <c r="B42" t="s">
        <v>2486</v>
      </c>
    </row>
    <row r="43" spans="2:9">
      <c r="B43" t="s">
        <v>2487</v>
      </c>
    </row>
    <row r="44" spans="2:9">
      <c r="B44" t="s">
        <v>2488</v>
      </c>
    </row>
    <row r="45" spans="2:9">
      <c r="B45" t="s">
        <v>2489</v>
      </c>
    </row>
    <row r="46" spans="2:9">
      <c r="B46" t="s">
        <v>2490</v>
      </c>
      <c r="G46" t="str">
        <f>"'"&amp;H46&amp;"': 'x'"</f>
        <v>'blockquote1': 'x'</v>
      </c>
      <c r="H46" t="s">
        <v>2347</v>
      </c>
      <c r="I46" t="s">
        <v>2509</v>
      </c>
    </row>
    <row r="47" spans="2:9">
      <c r="B47" t="s">
        <v>2491</v>
      </c>
      <c r="G47" t="str">
        <f>"'"&amp;H47&amp;"': 'x'"</f>
        <v>'blockquote2': 'x'</v>
      </c>
      <c r="H47" t="s">
        <v>2348</v>
      </c>
      <c r="I47" t="s">
        <v>2510</v>
      </c>
    </row>
    <row r="48" spans="2:9">
      <c r="B48" t="s">
        <v>2492</v>
      </c>
    </row>
    <row r="49" spans="2:9">
      <c r="B49" t="s">
        <v>2493</v>
      </c>
      <c r="G49" t="str">
        <f t="shared" ref="G49:G50" si="0">"'"&amp;H49&amp;"': 'x'"</f>
        <v>'elevsumm': 'x'</v>
      </c>
      <c r="H49" t="s">
        <v>2440</v>
      </c>
    </row>
    <row r="50" spans="2:9">
      <c r="B50" t="s">
        <v>2494</v>
      </c>
      <c r="G50" t="str">
        <f t="shared" si="0"/>
        <v>'elevmap': 'x'</v>
      </c>
      <c r="H50" t="s">
        <v>2441</v>
      </c>
    </row>
    <row r="51" spans="2:9">
      <c r="B51" t="s">
        <v>2495</v>
      </c>
      <c r="H51" t="s">
        <v>2435</v>
      </c>
    </row>
    <row r="52" spans="2:9">
      <c r="B52" t="s">
        <v>2496</v>
      </c>
      <c r="H52" t="s">
        <v>2442</v>
      </c>
    </row>
    <row r="53" spans="2:9">
      <c r="B53" t="s">
        <v>2497</v>
      </c>
      <c r="H53" t="s">
        <v>2436</v>
      </c>
    </row>
    <row r="54" spans="2:9">
      <c r="B54" t="s">
        <v>2446</v>
      </c>
      <c r="H54" t="s">
        <v>2354</v>
      </c>
      <c r="I54" t="s">
        <v>2359</v>
      </c>
    </row>
    <row r="55" spans="2:9">
      <c r="B55" t="s">
        <v>2498</v>
      </c>
    </row>
    <row r="56" spans="2:9">
      <c r="B56" t="s">
        <v>2499</v>
      </c>
      <c r="H56" t="s">
        <v>2372</v>
      </c>
    </row>
    <row r="57" spans="2:9">
      <c r="B57" t="s">
        <v>2500</v>
      </c>
      <c r="G57" t="str">
        <f t="shared" ref="G57:G58" si="1">"'"&amp;H57&amp;"': 'x'"</f>
        <v>'twopicblock6x6Pic1': 'x'</v>
      </c>
      <c r="H57" t="s">
        <v>2531</v>
      </c>
    </row>
    <row r="58" spans="2:9">
      <c r="B58" t="s">
        <v>2501</v>
      </c>
      <c r="G58" t="str">
        <f t="shared" si="1"/>
        <v>'twopicblock6x6Pic2': 'x'</v>
      </c>
      <c r="H58" t="s">
        <v>2532</v>
      </c>
    </row>
    <row r="59" spans="2:9">
      <c r="B59" t="s">
        <v>2502</v>
      </c>
      <c r="H59" t="s">
        <v>2437</v>
      </c>
    </row>
    <row r="60" spans="2:9">
      <c r="B60" t="s">
        <v>2447</v>
      </c>
      <c r="G60" t="str">
        <f t="shared" ref="G60:G61" si="2">"'"&amp;H60&amp;"': 'x'"</f>
        <v>'picparablock6x6Pic1': 'x'</v>
      </c>
      <c r="H60" t="s">
        <v>2533</v>
      </c>
      <c r="I60" t="s">
        <v>2511</v>
      </c>
    </row>
    <row r="61" spans="2:9">
      <c r="B61" t="s">
        <v>2446</v>
      </c>
      <c r="G61" t="str">
        <f t="shared" si="2"/>
        <v>'picparablock6x6Para': 'x'</v>
      </c>
      <c r="H61" t="s">
        <v>2534</v>
      </c>
    </row>
    <row r="62" spans="2:9">
      <c r="B62" t="s">
        <v>2498</v>
      </c>
    </row>
    <row r="63" spans="2:9">
      <c r="B63" t="s">
        <v>2499</v>
      </c>
      <c r="H63" t="s">
        <v>2436</v>
      </c>
    </row>
    <row r="64" spans="2:9">
      <c r="B64" t="s">
        <v>2500</v>
      </c>
      <c r="H64" t="s">
        <v>2442</v>
      </c>
    </row>
    <row r="65" spans="2:8">
      <c r="B65" t="s">
        <v>2501</v>
      </c>
      <c r="H65" t="s">
        <v>2436</v>
      </c>
    </row>
    <row r="66" spans="2:8">
      <c r="B66" t="s">
        <v>2502</v>
      </c>
      <c r="H66" t="s">
        <v>2354</v>
      </c>
    </row>
    <row r="67" spans="2:8">
      <c r="B67" t="s">
        <v>2447</v>
      </c>
    </row>
    <row r="68" spans="2:8">
      <c r="B68" t="s">
        <v>2446</v>
      </c>
      <c r="H68" t="s">
        <v>2372</v>
      </c>
    </row>
    <row r="69" spans="2:8">
      <c r="B69" t="s">
        <v>2498</v>
      </c>
      <c r="H69" t="s">
        <v>2370</v>
      </c>
    </row>
    <row r="70" spans="2:8">
      <c r="B70" t="s">
        <v>2499</v>
      </c>
      <c r="H70" t="s">
        <v>2371</v>
      </c>
    </row>
    <row r="71" spans="2:8">
      <c r="B71" t="s">
        <v>2500</v>
      </c>
      <c r="H71" t="s">
        <v>2437</v>
      </c>
    </row>
    <row r="72" spans="2:8">
      <c r="B72" t="s">
        <v>2501</v>
      </c>
      <c r="H72" t="s">
        <v>2370</v>
      </c>
    </row>
    <row r="73" spans="2:8">
      <c r="B73" t="s">
        <v>2502</v>
      </c>
      <c r="H73" t="s">
        <v>2438</v>
      </c>
    </row>
    <row r="74" spans="2:8">
      <c r="B74" t="s">
        <v>2447</v>
      </c>
    </row>
    <row r="75" spans="2:8">
      <c r="B75" t="s">
        <v>2446</v>
      </c>
    </row>
    <row r="76" spans="2:8">
      <c r="B76" t="s">
        <v>2498</v>
      </c>
    </row>
    <row r="77" spans="2:8">
      <c r="B77" t="s">
        <v>2499</v>
      </c>
    </row>
    <row r="78" spans="2:8">
      <c r="B78" t="s">
        <v>2500</v>
      </c>
    </row>
    <row r="79" spans="2:8">
      <c r="B79" t="s">
        <v>2501</v>
      </c>
    </row>
    <row r="80" spans="2:8">
      <c r="B80" t="s">
        <v>2502</v>
      </c>
    </row>
    <row r="81" spans="2:9">
      <c r="B81" t="s">
        <v>2447</v>
      </c>
    </row>
    <row r="82" spans="2:9">
      <c r="B82" t="s">
        <v>2446</v>
      </c>
    </row>
    <row r="83" spans="2:9">
      <c r="B83" t="s">
        <v>2498</v>
      </c>
    </row>
    <row r="84" spans="2:9">
      <c r="B84" t="s">
        <v>2499</v>
      </c>
    </row>
    <row r="85" spans="2:9">
      <c r="B85" t="s">
        <v>2500</v>
      </c>
    </row>
    <row r="86" spans="2:9">
      <c r="B86" t="s">
        <v>2501</v>
      </c>
    </row>
    <row r="87" spans="2:9">
      <c r="B87" t="s">
        <v>2502</v>
      </c>
    </row>
    <row r="88" spans="2:9">
      <c r="B88" t="s">
        <v>2448</v>
      </c>
    </row>
    <row r="89" spans="2:9">
      <c r="B89" t="s">
        <v>2449</v>
      </c>
    </row>
    <row r="90" spans="2:9">
      <c r="B90" t="s">
        <v>2503</v>
      </c>
    </row>
    <row r="91" spans="2:9">
      <c r="B91" t="s">
        <v>2504</v>
      </c>
      <c r="I91" t="s">
        <v>2512</v>
      </c>
    </row>
    <row r="92" spans="2:9">
      <c r="B92" t="s">
        <v>2505</v>
      </c>
    </row>
    <row r="93" spans="2:9">
      <c r="B93" t="s">
        <v>2450</v>
      </c>
    </row>
    <row r="96" spans="2:9">
      <c r="H96" t="s">
        <v>2507</v>
      </c>
    </row>
    <row r="100" spans="9:9">
      <c r="I100" t="s">
        <v>2513</v>
      </c>
    </row>
    <row r="106" spans="9:9">
      <c r="I106" t="s">
        <v>2514</v>
      </c>
    </row>
    <row r="108" spans="9:9">
      <c r="I108" t="s">
        <v>2515</v>
      </c>
    </row>
    <row r="115" spans="9:9">
      <c r="I115" t="s">
        <v>2516</v>
      </c>
    </row>
    <row r="118" spans="9:9">
      <c r="I118" t="s">
        <v>2517</v>
      </c>
    </row>
    <row r="139" spans="9:9">
      <c r="I139" t="s">
        <v>2518</v>
      </c>
    </row>
    <row r="141" spans="9:9">
      <c r="I141" t="s">
        <v>2519</v>
      </c>
    </row>
    <row r="142" spans="9:9">
      <c r="I142" t="s">
        <v>2520</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91EDF-40F0-4DE7-A533-927CDF1C0E97}">
  <dimension ref="B2:C185"/>
  <sheetViews>
    <sheetView topLeftCell="A115" workbookViewId="0">
      <selection activeCell="B151" sqref="B151"/>
    </sheetView>
  </sheetViews>
  <sheetFormatPr defaultRowHeight="15"/>
  <cols>
    <col min="2" max="2" width="23.140625" bestFit="1" customWidth="1"/>
    <col min="3" max="3" width="68.42578125" bestFit="1" customWidth="1"/>
  </cols>
  <sheetData>
    <row r="2" spans="2:3">
      <c r="B2" s="11" t="s">
        <v>607</v>
      </c>
    </row>
    <row r="3" spans="2:3">
      <c r="B3" s="11" t="s">
        <v>2540</v>
      </c>
      <c r="C3" t="s">
        <v>2479</v>
      </c>
    </row>
    <row r="4" spans="2:3">
      <c r="B4" s="11" t="s">
        <v>2445</v>
      </c>
    </row>
    <row r="5" spans="2:3">
      <c r="B5" s="11" t="s">
        <v>2541</v>
      </c>
      <c r="C5" t="s">
        <v>2542</v>
      </c>
    </row>
    <row r="6" spans="2:3">
      <c r="B6" s="11" t="s">
        <v>2543</v>
      </c>
      <c r="C6" t="s">
        <v>2544</v>
      </c>
    </row>
    <row r="7" spans="2:3">
      <c r="B7" s="11" t="s">
        <v>2545</v>
      </c>
      <c r="C7" t="s">
        <v>2546</v>
      </c>
    </row>
    <row r="8" spans="2:3">
      <c r="B8" s="11" t="s">
        <v>2547</v>
      </c>
      <c r="C8" t="s">
        <v>2548</v>
      </c>
    </row>
    <row r="9" spans="2:3">
      <c r="B9" s="11" t="s">
        <v>2549</v>
      </c>
      <c r="C9" t="s">
        <v>2677</v>
      </c>
    </row>
    <row r="10" spans="2:3">
      <c r="B10" s="12" t="s">
        <v>2450</v>
      </c>
    </row>
    <row r="11" spans="2:3">
      <c r="B11" s="13" t="s">
        <v>2445</v>
      </c>
    </row>
    <row r="12" spans="2:3">
      <c r="B12" s="13" t="s">
        <v>2541</v>
      </c>
      <c r="C12" t="s">
        <v>2550</v>
      </c>
    </row>
    <row r="13" spans="2:3">
      <c r="B13" s="13" t="s">
        <v>2543</v>
      </c>
      <c r="C13" t="s">
        <v>2551</v>
      </c>
    </row>
    <row r="14" spans="2:3">
      <c r="B14" s="13" t="s">
        <v>2545</v>
      </c>
      <c r="C14" t="s">
        <v>2552</v>
      </c>
    </row>
    <row r="15" spans="2:3">
      <c r="B15" s="13" t="s">
        <v>2547</v>
      </c>
      <c r="C15" t="s">
        <v>2553</v>
      </c>
    </row>
    <row r="16" spans="2:3">
      <c r="B16" s="13" t="s">
        <v>2549</v>
      </c>
      <c r="C16" t="s">
        <v>2678</v>
      </c>
    </row>
    <row r="17" spans="2:3">
      <c r="B17" s="12" t="s">
        <v>2450</v>
      </c>
    </row>
    <row r="18" spans="2:3">
      <c r="B18" s="13" t="s">
        <v>2445</v>
      </c>
    </row>
    <row r="19" spans="2:3">
      <c r="B19" s="13" t="s">
        <v>2541</v>
      </c>
      <c r="C19" t="s">
        <v>2554</v>
      </c>
    </row>
    <row r="20" spans="2:3">
      <c r="B20" s="13" t="s">
        <v>2543</v>
      </c>
      <c r="C20" t="s">
        <v>2555</v>
      </c>
    </row>
    <row r="21" spans="2:3">
      <c r="B21" s="13" t="s">
        <v>2545</v>
      </c>
      <c r="C21" t="s">
        <v>2556</v>
      </c>
    </row>
    <row r="22" spans="2:3">
      <c r="B22" s="13" t="s">
        <v>2547</v>
      </c>
      <c r="C22" t="s">
        <v>2557</v>
      </c>
    </row>
    <row r="23" spans="2:3">
      <c r="B23" s="13" t="s">
        <v>2549</v>
      </c>
      <c r="C23" t="s">
        <v>2679</v>
      </c>
    </row>
    <row r="24" spans="2:3">
      <c r="B24" s="12" t="s">
        <v>2450</v>
      </c>
    </row>
    <row r="25" spans="2:3">
      <c r="B25" s="13" t="s">
        <v>2445</v>
      </c>
    </row>
    <row r="26" spans="2:3">
      <c r="B26" s="13" t="s">
        <v>2541</v>
      </c>
      <c r="C26" t="s">
        <v>2558</v>
      </c>
    </row>
    <row r="27" spans="2:3">
      <c r="B27" s="13" t="s">
        <v>2543</v>
      </c>
      <c r="C27" t="s">
        <v>2559</v>
      </c>
    </row>
    <row r="28" spans="2:3">
      <c r="B28" s="13" t="s">
        <v>2545</v>
      </c>
      <c r="C28" t="s">
        <v>2560</v>
      </c>
    </row>
    <row r="29" spans="2:3">
      <c r="B29" s="13" t="s">
        <v>2547</v>
      </c>
      <c r="C29" t="s">
        <v>2561</v>
      </c>
    </row>
    <row r="30" spans="2:3">
      <c r="B30" s="13" t="s">
        <v>2549</v>
      </c>
      <c r="C30" t="s">
        <v>2680</v>
      </c>
    </row>
    <row r="31" spans="2:3">
      <c r="B31" s="12" t="s">
        <v>2450</v>
      </c>
    </row>
    <row r="32" spans="2:3">
      <c r="B32" s="13" t="s">
        <v>2445</v>
      </c>
    </row>
    <row r="33" spans="2:3">
      <c r="B33" s="13" t="s">
        <v>2541</v>
      </c>
      <c r="C33" t="s">
        <v>2562</v>
      </c>
    </row>
    <row r="34" spans="2:3">
      <c r="B34" s="13" t="s">
        <v>2543</v>
      </c>
      <c r="C34" t="s">
        <v>2563</v>
      </c>
    </row>
    <row r="35" spans="2:3">
      <c r="B35" s="13" t="s">
        <v>2545</v>
      </c>
      <c r="C35" t="s">
        <v>2564</v>
      </c>
    </row>
    <row r="36" spans="2:3">
      <c r="B36" s="13" t="s">
        <v>2547</v>
      </c>
      <c r="C36" t="s">
        <v>2565</v>
      </c>
    </row>
    <row r="37" spans="2:3">
      <c r="B37" s="13" t="s">
        <v>2549</v>
      </c>
      <c r="C37" t="s">
        <v>2681</v>
      </c>
    </row>
    <row r="38" spans="2:3">
      <c r="B38" s="12" t="s">
        <v>2450</v>
      </c>
    </row>
    <row r="39" spans="2:3">
      <c r="B39" s="13" t="s">
        <v>2445</v>
      </c>
    </row>
    <row r="40" spans="2:3">
      <c r="B40" s="13" t="s">
        <v>2541</v>
      </c>
      <c r="C40" t="s">
        <v>2566</v>
      </c>
    </row>
    <row r="41" spans="2:3">
      <c r="B41" s="13" t="s">
        <v>2543</v>
      </c>
      <c r="C41" t="s">
        <v>2567</v>
      </c>
    </row>
    <row r="42" spans="2:3">
      <c r="B42" s="13" t="s">
        <v>2545</v>
      </c>
      <c r="C42" t="s">
        <v>2568</v>
      </c>
    </row>
    <row r="43" spans="2:3">
      <c r="B43" s="13" t="s">
        <v>2547</v>
      </c>
      <c r="C43" t="s">
        <v>2569</v>
      </c>
    </row>
    <row r="44" spans="2:3">
      <c r="B44" s="13" t="s">
        <v>2549</v>
      </c>
      <c r="C44" t="s">
        <v>2682</v>
      </c>
    </row>
    <row r="45" spans="2:3">
      <c r="B45" s="12" t="s">
        <v>2450</v>
      </c>
    </row>
    <row r="46" spans="2:3">
      <c r="B46" s="13" t="s">
        <v>2445</v>
      </c>
    </row>
    <row r="47" spans="2:3">
      <c r="B47" s="13" t="s">
        <v>2541</v>
      </c>
      <c r="C47" t="s">
        <v>2570</v>
      </c>
    </row>
    <row r="48" spans="2:3">
      <c r="B48" s="13" t="s">
        <v>2543</v>
      </c>
      <c r="C48" t="s">
        <v>2571</v>
      </c>
    </row>
    <row r="49" spans="2:3">
      <c r="B49" s="13" t="s">
        <v>2545</v>
      </c>
      <c r="C49" t="s">
        <v>2572</v>
      </c>
    </row>
    <row r="50" spans="2:3">
      <c r="B50" s="13" t="s">
        <v>2547</v>
      </c>
      <c r="C50" t="s">
        <v>2573</v>
      </c>
    </row>
    <row r="51" spans="2:3">
      <c r="B51" s="13" t="s">
        <v>2549</v>
      </c>
      <c r="C51" t="s">
        <v>2683</v>
      </c>
    </row>
    <row r="52" spans="2:3">
      <c r="B52" s="12" t="s">
        <v>2450</v>
      </c>
    </row>
    <row r="53" spans="2:3">
      <c r="B53" s="13" t="s">
        <v>2445</v>
      </c>
    </row>
    <row r="54" spans="2:3">
      <c r="B54" s="13" t="s">
        <v>2541</v>
      </c>
      <c r="C54" t="s">
        <v>2574</v>
      </c>
    </row>
    <row r="55" spans="2:3">
      <c r="B55" s="13" t="s">
        <v>2543</v>
      </c>
      <c r="C55" t="s">
        <v>2575</v>
      </c>
    </row>
    <row r="56" spans="2:3">
      <c r="B56" s="13" t="s">
        <v>2545</v>
      </c>
      <c r="C56" t="s">
        <v>2576</v>
      </c>
    </row>
    <row r="57" spans="2:3">
      <c r="B57" s="13" t="s">
        <v>2547</v>
      </c>
      <c r="C57" t="s">
        <v>2577</v>
      </c>
    </row>
    <row r="58" spans="2:3">
      <c r="B58" s="13" t="s">
        <v>2549</v>
      </c>
      <c r="C58" t="s">
        <v>2684</v>
      </c>
    </row>
    <row r="59" spans="2:3">
      <c r="B59" s="12" t="s">
        <v>2450</v>
      </c>
    </row>
    <row r="60" spans="2:3">
      <c r="B60" s="13" t="s">
        <v>2445</v>
      </c>
    </row>
    <row r="61" spans="2:3">
      <c r="B61" s="13" t="s">
        <v>2541</v>
      </c>
      <c r="C61" t="s">
        <v>2578</v>
      </c>
    </row>
    <row r="62" spans="2:3">
      <c r="B62" s="13" t="s">
        <v>2543</v>
      </c>
      <c r="C62" t="s">
        <v>2579</v>
      </c>
    </row>
    <row r="63" spans="2:3">
      <c r="B63" s="13" t="s">
        <v>2545</v>
      </c>
      <c r="C63" t="s">
        <v>2580</v>
      </c>
    </row>
    <row r="64" spans="2:3">
      <c r="B64" s="13" t="s">
        <v>2547</v>
      </c>
      <c r="C64" t="s">
        <v>2581</v>
      </c>
    </row>
    <row r="65" spans="2:3">
      <c r="B65" s="13" t="s">
        <v>2549</v>
      </c>
      <c r="C65" t="s">
        <v>2685</v>
      </c>
    </row>
    <row r="66" spans="2:3">
      <c r="B66" s="12" t="s">
        <v>2450</v>
      </c>
    </row>
    <row r="67" spans="2:3">
      <c r="B67" s="13" t="s">
        <v>2445</v>
      </c>
    </row>
    <row r="68" spans="2:3">
      <c r="B68" s="13" t="s">
        <v>2541</v>
      </c>
      <c r="C68" t="s">
        <v>2582</v>
      </c>
    </row>
    <row r="69" spans="2:3">
      <c r="B69" s="13" t="s">
        <v>2543</v>
      </c>
      <c r="C69" t="s">
        <v>2583</v>
      </c>
    </row>
    <row r="70" spans="2:3">
      <c r="B70" s="13" t="s">
        <v>2545</v>
      </c>
      <c r="C70" t="s">
        <v>2584</v>
      </c>
    </row>
    <row r="71" spans="2:3">
      <c r="B71" s="13" t="s">
        <v>2547</v>
      </c>
      <c r="C71" t="s">
        <v>2585</v>
      </c>
    </row>
    <row r="72" spans="2:3">
      <c r="B72" s="13" t="s">
        <v>2549</v>
      </c>
      <c r="C72" t="s">
        <v>2686</v>
      </c>
    </row>
    <row r="73" spans="2:3">
      <c r="B73" s="12" t="s">
        <v>2450</v>
      </c>
    </row>
    <row r="74" spans="2:3">
      <c r="B74" s="13" t="s">
        <v>2445</v>
      </c>
    </row>
    <row r="75" spans="2:3">
      <c r="B75" s="13" t="s">
        <v>2541</v>
      </c>
      <c r="C75" t="s">
        <v>2586</v>
      </c>
    </row>
    <row r="76" spans="2:3">
      <c r="B76" s="13" t="s">
        <v>2543</v>
      </c>
      <c r="C76" t="s">
        <v>2587</v>
      </c>
    </row>
    <row r="77" spans="2:3">
      <c r="B77" s="13" t="s">
        <v>2545</v>
      </c>
      <c r="C77" t="s">
        <v>2588</v>
      </c>
    </row>
    <row r="78" spans="2:3">
      <c r="B78" s="13" t="s">
        <v>2547</v>
      </c>
      <c r="C78" t="s">
        <v>2589</v>
      </c>
    </row>
    <row r="79" spans="2:3">
      <c r="B79" s="13" t="s">
        <v>2549</v>
      </c>
      <c r="C79" t="s">
        <v>2687</v>
      </c>
    </row>
    <row r="80" spans="2:3">
      <c r="B80" s="12" t="s">
        <v>2450</v>
      </c>
    </row>
    <row r="81" spans="2:3">
      <c r="B81" s="13" t="s">
        <v>2445</v>
      </c>
    </row>
    <row r="82" spans="2:3">
      <c r="B82" s="13" t="s">
        <v>2541</v>
      </c>
      <c r="C82" t="s">
        <v>2590</v>
      </c>
    </row>
    <row r="83" spans="2:3">
      <c r="B83" s="13" t="s">
        <v>2543</v>
      </c>
      <c r="C83" t="s">
        <v>2591</v>
      </c>
    </row>
    <row r="84" spans="2:3">
      <c r="B84" s="13" t="s">
        <v>2545</v>
      </c>
      <c r="C84" t="s">
        <v>2592</v>
      </c>
    </row>
    <row r="85" spans="2:3">
      <c r="B85" s="13" t="s">
        <v>2547</v>
      </c>
      <c r="C85" t="s">
        <v>2593</v>
      </c>
    </row>
    <row r="86" spans="2:3">
      <c r="B86" s="13" t="s">
        <v>2549</v>
      </c>
      <c r="C86" t="s">
        <v>2688</v>
      </c>
    </row>
    <row r="87" spans="2:3">
      <c r="B87" s="12" t="s">
        <v>2450</v>
      </c>
    </row>
    <row r="88" spans="2:3">
      <c r="B88" s="13" t="s">
        <v>2445</v>
      </c>
    </row>
    <row r="89" spans="2:3">
      <c r="B89" s="13" t="s">
        <v>2541</v>
      </c>
      <c r="C89" t="s">
        <v>2594</v>
      </c>
    </row>
    <row r="90" spans="2:3">
      <c r="B90" s="13" t="s">
        <v>2543</v>
      </c>
      <c r="C90" t="s">
        <v>2595</v>
      </c>
    </row>
    <row r="91" spans="2:3">
      <c r="B91" s="13" t="s">
        <v>2545</v>
      </c>
      <c r="C91" t="s">
        <v>2596</v>
      </c>
    </row>
    <row r="92" spans="2:3">
      <c r="B92" s="13" t="s">
        <v>2547</v>
      </c>
      <c r="C92" t="s">
        <v>2597</v>
      </c>
    </row>
    <row r="93" spans="2:3">
      <c r="B93" s="13" t="s">
        <v>2549</v>
      </c>
      <c r="C93" t="s">
        <v>2689</v>
      </c>
    </row>
    <row r="94" spans="2:3">
      <c r="B94" s="12" t="s">
        <v>2450</v>
      </c>
    </row>
    <row r="95" spans="2:3">
      <c r="B95" s="13" t="s">
        <v>2445</v>
      </c>
    </row>
    <row r="96" spans="2:3">
      <c r="B96" s="13" t="s">
        <v>2541</v>
      </c>
      <c r="C96" t="s">
        <v>2598</v>
      </c>
    </row>
    <row r="97" spans="2:3">
      <c r="B97" s="13" t="s">
        <v>2543</v>
      </c>
      <c r="C97" t="s">
        <v>2599</v>
      </c>
    </row>
    <row r="98" spans="2:3">
      <c r="B98" s="13" t="s">
        <v>2545</v>
      </c>
      <c r="C98" t="s">
        <v>2600</v>
      </c>
    </row>
    <row r="99" spans="2:3">
      <c r="B99" s="13" t="s">
        <v>2547</v>
      </c>
      <c r="C99" t="s">
        <v>2601</v>
      </c>
    </row>
    <row r="100" spans="2:3">
      <c r="B100" s="13" t="s">
        <v>2549</v>
      </c>
      <c r="C100" t="s">
        <v>2602</v>
      </c>
    </row>
    <row r="101" spans="2:3">
      <c r="B101" s="12" t="s">
        <v>2603</v>
      </c>
    </row>
    <row r="102" spans="2:3">
      <c r="B102" s="13" t="s">
        <v>2537</v>
      </c>
    </row>
    <row r="103" spans="2:3">
      <c r="B103" s="13" t="s">
        <v>2604</v>
      </c>
      <c r="C103" t="s">
        <v>2479</v>
      </c>
    </row>
    <row r="104" spans="2:3">
      <c r="B104" s="13" t="s">
        <v>2445</v>
      </c>
    </row>
    <row r="105" spans="2:3">
      <c r="B105" s="13" t="s">
        <v>2605</v>
      </c>
      <c r="C105" t="s">
        <v>2606</v>
      </c>
    </row>
    <row r="106" spans="2:3">
      <c r="B106" s="13" t="s">
        <v>2607</v>
      </c>
      <c r="C106" t="s">
        <v>2608</v>
      </c>
    </row>
    <row r="107" spans="2:3">
      <c r="B107" s="13" t="s">
        <v>2609</v>
      </c>
      <c r="C107" t="s">
        <v>2610</v>
      </c>
    </row>
    <row r="108" spans="2:3">
      <c r="B108" s="13" t="s">
        <v>2611</v>
      </c>
      <c r="C108" t="s">
        <v>2612</v>
      </c>
    </row>
    <row r="109" spans="2:3">
      <c r="B109" s="13" t="s">
        <v>2613</v>
      </c>
      <c r="C109" t="s">
        <v>2614</v>
      </c>
    </row>
    <row r="110" spans="2:3">
      <c r="B110" s="13" t="s">
        <v>2615</v>
      </c>
      <c r="C110" t="s">
        <v>2616</v>
      </c>
    </row>
    <row r="111" spans="2:3">
      <c r="B111" s="13" t="s">
        <v>2617</v>
      </c>
      <c r="C111" t="s">
        <v>2669</v>
      </c>
    </row>
    <row r="112" spans="2:3">
      <c r="B112" s="13" t="s">
        <v>2618</v>
      </c>
      <c r="C112" t="s">
        <v>2619</v>
      </c>
    </row>
    <row r="113" spans="2:3">
      <c r="B113" s="12" t="s">
        <v>2450</v>
      </c>
    </row>
    <row r="114" spans="2:3">
      <c r="B114" s="13" t="s">
        <v>2445</v>
      </c>
    </row>
    <row r="115" spans="2:3">
      <c r="B115" s="13" t="s">
        <v>2605</v>
      </c>
      <c r="C115" t="s">
        <v>2620</v>
      </c>
    </row>
    <row r="116" spans="2:3">
      <c r="B116" s="13" t="s">
        <v>2607</v>
      </c>
      <c r="C116" t="s">
        <v>2621</v>
      </c>
    </row>
    <row r="117" spans="2:3">
      <c r="B117" s="13" t="s">
        <v>2609</v>
      </c>
      <c r="C117" t="s">
        <v>2622</v>
      </c>
    </row>
    <row r="118" spans="2:3">
      <c r="B118" s="13" t="s">
        <v>2611</v>
      </c>
      <c r="C118" t="s">
        <v>2623</v>
      </c>
    </row>
    <row r="119" spans="2:3">
      <c r="B119" s="13" t="s">
        <v>2613</v>
      </c>
      <c r="C119" t="s">
        <v>2624</v>
      </c>
    </row>
    <row r="120" spans="2:3">
      <c r="B120" s="13" t="s">
        <v>2615</v>
      </c>
      <c r="C120" t="s">
        <v>2625</v>
      </c>
    </row>
    <row r="121" spans="2:3">
      <c r="B121" s="13" t="s">
        <v>2617</v>
      </c>
      <c r="C121" t="s">
        <v>2670</v>
      </c>
    </row>
    <row r="122" spans="2:3">
      <c r="B122" s="13" t="s">
        <v>2618</v>
      </c>
      <c r="C122" t="s">
        <v>2626</v>
      </c>
    </row>
    <row r="123" spans="2:3">
      <c r="B123" s="12" t="s">
        <v>2450</v>
      </c>
    </row>
    <row r="124" spans="2:3">
      <c r="B124" s="13" t="s">
        <v>2445</v>
      </c>
    </row>
    <row r="125" spans="2:3">
      <c r="B125" s="13" t="s">
        <v>2605</v>
      </c>
      <c r="C125" t="s">
        <v>2627</v>
      </c>
    </row>
    <row r="126" spans="2:3">
      <c r="B126" s="13" t="s">
        <v>2607</v>
      </c>
      <c r="C126" t="s">
        <v>2628</v>
      </c>
    </row>
    <row r="127" spans="2:3">
      <c r="B127" s="13" t="s">
        <v>2609</v>
      </c>
      <c r="C127" t="s">
        <v>2629</v>
      </c>
    </row>
    <row r="128" spans="2:3">
      <c r="B128" s="13" t="s">
        <v>2611</v>
      </c>
      <c r="C128" t="s">
        <v>2630</v>
      </c>
    </row>
    <row r="129" spans="2:3">
      <c r="B129" s="13" t="s">
        <v>2613</v>
      </c>
      <c r="C129" t="s">
        <v>2631</v>
      </c>
    </row>
    <row r="130" spans="2:3">
      <c r="B130" s="13" t="s">
        <v>2615</v>
      </c>
      <c r="C130" t="s">
        <v>2632</v>
      </c>
    </row>
    <row r="131" spans="2:3">
      <c r="B131" s="13" t="s">
        <v>2617</v>
      </c>
      <c r="C131" t="s">
        <v>2671</v>
      </c>
    </row>
    <row r="132" spans="2:3">
      <c r="B132" s="13" t="s">
        <v>2618</v>
      </c>
      <c r="C132" t="s">
        <v>2633</v>
      </c>
    </row>
    <row r="133" spans="2:3">
      <c r="B133" s="12" t="s">
        <v>2450</v>
      </c>
    </row>
    <row r="134" spans="2:3">
      <c r="B134" s="13" t="s">
        <v>2445</v>
      </c>
    </row>
    <row r="135" spans="2:3">
      <c r="B135" s="13" t="s">
        <v>2605</v>
      </c>
      <c r="C135" t="s">
        <v>2634</v>
      </c>
    </row>
    <row r="136" spans="2:3">
      <c r="B136" s="13" t="s">
        <v>2607</v>
      </c>
      <c r="C136" t="s">
        <v>2635</v>
      </c>
    </row>
    <row r="137" spans="2:3">
      <c r="B137" s="13" t="s">
        <v>2609</v>
      </c>
      <c r="C137" t="s">
        <v>2636</v>
      </c>
    </row>
    <row r="138" spans="2:3">
      <c r="B138" s="13" t="s">
        <v>2611</v>
      </c>
      <c r="C138" t="s">
        <v>2637</v>
      </c>
    </row>
    <row r="139" spans="2:3">
      <c r="B139" s="13" t="s">
        <v>2613</v>
      </c>
      <c r="C139" t="s">
        <v>2638</v>
      </c>
    </row>
    <row r="140" spans="2:3">
      <c r="B140" s="13" t="s">
        <v>2615</v>
      </c>
      <c r="C140" t="s">
        <v>2639</v>
      </c>
    </row>
    <row r="141" spans="2:3">
      <c r="B141" s="13" t="s">
        <v>2617</v>
      </c>
      <c r="C141" t="s">
        <v>2672</v>
      </c>
    </row>
    <row r="142" spans="2:3">
      <c r="B142" s="13" t="s">
        <v>2618</v>
      </c>
      <c r="C142" t="s">
        <v>2640</v>
      </c>
    </row>
    <row r="143" spans="2:3">
      <c r="B143" s="12" t="s">
        <v>2450</v>
      </c>
    </row>
    <row r="144" spans="2:3">
      <c r="B144" s="13" t="s">
        <v>2445</v>
      </c>
    </row>
    <row r="145" spans="2:3">
      <c r="B145" s="13" t="s">
        <v>2605</v>
      </c>
      <c r="C145" t="s">
        <v>2641</v>
      </c>
    </row>
    <row r="146" spans="2:3">
      <c r="B146" s="13" t="s">
        <v>2607</v>
      </c>
      <c r="C146" t="s">
        <v>2642</v>
      </c>
    </row>
    <row r="147" spans="2:3">
      <c r="B147" s="13" t="s">
        <v>2609</v>
      </c>
      <c r="C147" t="s">
        <v>2643</v>
      </c>
    </row>
    <row r="148" spans="2:3">
      <c r="B148" s="13" t="s">
        <v>2611</v>
      </c>
      <c r="C148" t="s">
        <v>2644</v>
      </c>
    </row>
    <row r="149" spans="2:3">
      <c r="B149" s="13" t="s">
        <v>2613</v>
      </c>
      <c r="C149" t="s">
        <v>2645</v>
      </c>
    </row>
    <row r="150" spans="2:3">
      <c r="B150" s="13" t="s">
        <v>2615</v>
      </c>
      <c r="C150" t="s">
        <v>2646</v>
      </c>
    </row>
    <row r="151" spans="2:3">
      <c r="B151" s="13" t="s">
        <v>2617</v>
      </c>
      <c r="C151" t="s">
        <v>2673</v>
      </c>
    </row>
    <row r="152" spans="2:3">
      <c r="B152" s="13" t="s">
        <v>2618</v>
      </c>
      <c r="C152" t="s">
        <v>2647</v>
      </c>
    </row>
    <row r="153" spans="2:3">
      <c r="B153" s="12" t="s">
        <v>2450</v>
      </c>
    </row>
    <row r="154" spans="2:3">
      <c r="B154" s="13" t="s">
        <v>2445</v>
      </c>
    </row>
    <row r="155" spans="2:3">
      <c r="B155" s="13" t="s">
        <v>2605</v>
      </c>
      <c r="C155" t="s">
        <v>2648</v>
      </c>
    </row>
    <row r="156" spans="2:3">
      <c r="B156" s="13" t="s">
        <v>2607</v>
      </c>
      <c r="C156" t="s">
        <v>2649</v>
      </c>
    </row>
    <row r="157" spans="2:3">
      <c r="B157" s="13" t="s">
        <v>2609</v>
      </c>
      <c r="C157" t="s">
        <v>2650</v>
      </c>
    </row>
    <row r="158" spans="2:3">
      <c r="B158" s="13" t="s">
        <v>2611</v>
      </c>
      <c r="C158" t="s">
        <v>2651</v>
      </c>
    </row>
    <row r="159" spans="2:3">
      <c r="B159" s="13" t="s">
        <v>2613</v>
      </c>
      <c r="C159" t="s">
        <v>2652</v>
      </c>
    </row>
    <row r="160" spans="2:3">
      <c r="B160" s="13" t="s">
        <v>2615</v>
      </c>
      <c r="C160" t="s">
        <v>2653</v>
      </c>
    </row>
    <row r="161" spans="2:3">
      <c r="B161" s="13" t="s">
        <v>2617</v>
      </c>
      <c r="C161" t="s">
        <v>2674</v>
      </c>
    </row>
    <row r="162" spans="2:3">
      <c r="B162" s="13" t="s">
        <v>2618</v>
      </c>
      <c r="C162" t="s">
        <v>2654</v>
      </c>
    </row>
    <row r="163" spans="2:3">
      <c r="B163" s="12" t="s">
        <v>2450</v>
      </c>
    </row>
    <row r="164" spans="2:3">
      <c r="B164" s="13" t="s">
        <v>2445</v>
      </c>
    </row>
    <row r="165" spans="2:3">
      <c r="B165" s="13" t="s">
        <v>2605</v>
      </c>
      <c r="C165" t="s">
        <v>2655</v>
      </c>
    </row>
    <row r="166" spans="2:3">
      <c r="B166" s="13" t="s">
        <v>2607</v>
      </c>
      <c r="C166" t="s">
        <v>2656</v>
      </c>
    </row>
    <row r="167" spans="2:3">
      <c r="B167" s="13" t="s">
        <v>2609</v>
      </c>
      <c r="C167" t="s">
        <v>2657</v>
      </c>
    </row>
    <row r="168" spans="2:3">
      <c r="B168" s="13" t="s">
        <v>2611</v>
      </c>
      <c r="C168" t="s">
        <v>2658</v>
      </c>
    </row>
    <row r="169" spans="2:3">
      <c r="B169" s="13" t="s">
        <v>2613</v>
      </c>
      <c r="C169" t="s">
        <v>2659</v>
      </c>
    </row>
    <row r="170" spans="2:3">
      <c r="B170" s="13" t="s">
        <v>2615</v>
      </c>
      <c r="C170" t="s">
        <v>2660</v>
      </c>
    </row>
    <row r="171" spans="2:3">
      <c r="B171" s="13" t="s">
        <v>2617</v>
      </c>
      <c r="C171" t="s">
        <v>2675</v>
      </c>
    </row>
    <row r="172" spans="2:3">
      <c r="B172" s="13" t="s">
        <v>2618</v>
      </c>
      <c r="C172" t="s">
        <v>2661</v>
      </c>
    </row>
    <row r="173" spans="2:3">
      <c r="B173" s="12" t="s">
        <v>2450</v>
      </c>
    </row>
    <row r="174" spans="2:3">
      <c r="B174" s="13" t="s">
        <v>2445</v>
      </c>
    </row>
    <row r="175" spans="2:3">
      <c r="B175" s="13" t="s">
        <v>2605</v>
      </c>
      <c r="C175" t="s">
        <v>2662</v>
      </c>
    </row>
    <row r="176" spans="2:3">
      <c r="B176" s="13" t="s">
        <v>2607</v>
      </c>
      <c r="C176" t="s">
        <v>2663</v>
      </c>
    </row>
    <row r="177" spans="2:3">
      <c r="B177" s="13" t="s">
        <v>2609</v>
      </c>
      <c r="C177" t="s">
        <v>2664</v>
      </c>
    </row>
    <row r="178" spans="2:3">
      <c r="B178" s="13" t="s">
        <v>2611</v>
      </c>
      <c r="C178" t="s">
        <v>2665</v>
      </c>
    </row>
    <row r="179" spans="2:3">
      <c r="B179" s="13" t="s">
        <v>2613</v>
      </c>
      <c r="C179" t="s">
        <v>2666</v>
      </c>
    </row>
    <row r="180" spans="2:3">
      <c r="B180" s="13" t="s">
        <v>2615</v>
      </c>
      <c r="C180" t="s">
        <v>2667</v>
      </c>
    </row>
    <row r="181" spans="2:3">
      <c r="B181" s="13" t="s">
        <v>2617</v>
      </c>
      <c r="C181" t="s">
        <v>2676</v>
      </c>
    </row>
    <row r="182" spans="2:3">
      <c r="B182" s="13" t="s">
        <v>2618</v>
      </c>
      <c r="C182" t="s">
        <v>2668</v>
      </c>
    </row>
    <row r="183" spans="2:3">
      <c r="B183" s="12" t="s">
        <v>2603</v>
      </c>
    </row>
    <row r="184" spans="2:3">
      <c r="B184" s="13" t="s">
        <v>2538</v>
      </c>
    </row>
    <row r="185" spans="2:3">
      <c r="B185" s="13" t="s">
        <v>2539</v>
      </c>
    </row>
  </sheetData>
  <autoFilter ref="B2:D185" xr:uid="{40291EDF-40F0-4DE7-A533-927CDF1C0E97}"/>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A067E75-289C-4EE5-956C-CC3D18EA5FA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summary PAge</vt:lpstr>
      <vt:lpstr>Dailypages</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O'Brien</dc:creator>
  <cp:lastModifiedBy>Jim OBrien</cp:lastModifiedBy>
  <dcterms:created xsi:type="dcterms:W3CDTF">2019-09-26T14:57:52Z</dcterms:created>
  <dcterms:modified xsi:type="dcterms:W3CDTF">2024-01-22T19:34:26Z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d3e187cf-7230-4f30-9311-6a5c0849c4d4</vt:lpwstr>
  </property>
</Properties>
</file>